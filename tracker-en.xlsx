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0e9fd63db271f8/HybrideFuelCo/Website/DataSheets/"/>
    </mc:Choice>
  </mc:AlternateContent>
  <xr:revisionPtr revIDLastSave="5" documentId="11_0511C9F4F3D486ECA5EB7C25B8E3992DE872B485" xr6:coauthVersionLast="47" xr6:coauthVersionMax="47" xr10:uidLastSave="{BD1B3468-ED64-4117-8A73-992E9B954CE5}"/>
  <bookViews>
    <workbookView xWindow="-108" yWindow="-108" windowWidth="23256" windowHeight="12456" tabRatio="500" xr2:uid="{00000000-000D-0000-FFFF-FFFF00000000}"/>
  </bookViews>
  <sheets>
    <sheet name="Dashboard" sheetId="1" r:id="rId1"/>
    <sheet name="Meal plan" sheetId="2" r:id="rId2"/>
    <sheet name="Weight" sheetId="3" r:id="rId3"/>
    <sheet name="Shoppi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3" l="1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20" i="1"/>
  <c r="E20" i="1"/>
  <c r="A20" i="1"/>
  <c r="J13" i="1"/>
  <c r="L12" i="1"/>
  <c r="I12" i="1"/>
  <c r="L11" i="1"/>
  <c r="I11" i="1"/>
  <c r="L10" i="1"/>
  <c r="I10" i="1"/>
  <c r="L9" i="1"/>
  <c r="I9" i="1"/>
  <c r="J5" i="1"/>
  <c r="N2" i="1"/>
  <c r="D5" i="1" s="1"/>
  <c r="N1" i="1"/>
  <c r="A5" i="1" l="1"/>
  <c r="N3" i="1"/>
  <c r="A16" i="1" l="1"/>
  <c r="G5" i="1"/>
</calcChain>
</file>

<file path=xl/sharedStrings.xml><?xml version="1.0" encoding="utf-8"?>
<sst xmlns="http://schemas.openxmlformats.org/spreadsheetml/2006/main" count="182" uniqueCount="89">
  <si>
    <t>H</t>
  </si>
  <si>
    <t>HYBRIDFUELCO</t>
  </si>
  <si>
    <t>PROGRESS TRACKER</t>
  </si>
  <si>
    <t>Current weight</t>
  </si>
  <si>
    <t>Last change</t>
  </si>
  <si>
    <t>Status</t>
  </si>
  <si>
    <t>Today</t>
  </si>
  <si>
    <t>Weight trend</t>
  </si>
  <si>
    <t>Today — meals</t>
  </si>
  <si>
    <t>Mon</t>
  </si>
  <si>
    <t>Breakfast</t>
  </si>
  <si>
    <t>Lunch</t>
  </si>
  <si>
    <t>Dinner</t>
  </si>
  <si>
    <t>Snack</t>
  </si>
  <si>
    <t>Day total</t>
  </si>
  <si>
    <t>Daily macros — selected day</t>
  </si>
  <si>
    <t>Protein</t>
  </si>
  <si>
    <t>Carbs</t>
  </si>
  <si>
    <t>Fat</t>
  </si>
  <si>
    <t>MEAL PLAN</t>
  </si>
  <si>
    <t>Replace this example week with your own plan from the app. The dashboard reads 'Today' from here.</t>
  </si>
  <si>
    <t>Day</t>
  </si>
  <si>
    <t>Type</t>
  </si>
  <si>
    <t>Dish</t>
  </si>
  <si>
    <t>Ingredients</t>
  </si>
  <si>
    <t>kcal</t>
  </si>
  <si>
    <t>Protein (g)</t>
  </si>
  <si>
    <t>Carbs (g)</t>
  </si>
  <si>
    <t>Fat (g)</t>
  </si>
  <si>
    <t>key</t>
  </si>
  <si>
    <t>Savoury oats with egg</t>
  </si>
  <si>
    <t>60g oats, 2 eggs, 100g spinach</t>
  </si>
  <si>
    <t>Chicken &amp; rice bowl</t>
  </si>
  <si>
    <t>150g chicken, 70g rice, 150g veg</t>
  </si>
  <si>
    <t>Lean mince pasta</t>
  </si>
  <si>
    <t>130g mince, 70g pasta, tomato sauce</t>
  </si>
  <si>
    <t>Quark with nuts</t>
  </si>
  <si>
    <t>200g quark, 20g nuts</t>
  </si>
  <si>
    <t>Tue</t>
  </si>
  <si>
    <t>Quark with oats &amp; berries</t>
  </si>
  <si>
    <t>250g quark, 40g oats, 100g berries</t>
  </si>
  <si>
    <t>Tuna wrap</t>
  </si>
  <si>
    <t>1 wrap, 100g tuna, 50g corn</t>
  </si>
  <si>
    <t>Salmon with quinoa</t>
  </si>
  <si>
    <t>125g salmon, 60g quinoa, 100g broccoli</t>
  </si>
  <si>
    <t>Protein bar &amp; fruit</t>
  </si>
  <si>
    <t>1 bar, 1 apple</t>
  </si>
  <si>
    <t>Wed</t>
  </si>
  <si>
    <t>High-protein pancakes</t>
  </si>
  <si>
    <t>50g oat flour, 30g whey, 1 egg</t>
  </si>
  <si>
    <t>Beef &amp; avocado bowl</t>
  </si>
  <si>
    <t>150g lean beef, 80g avocado, 80g greens</t>
  </si>
  <si>
    <t>Chicken &amp; sweet potato</t>
  </si>
  <si>
    <t>160g chicken, 200g sweet potato, 150g veg</t>
  </si>
  <si>
    <t>Skyr with honey</t>
  </si>
  <si>
    <t>200g skyr, 15g honey</t>
  </si>
  <si>
    <t>Thu</t>
  </si>
  <si>
    <t>Fri</t>
  </si>
  <si>
    <t>Sat</t>
  </si>
  <si>
    <t>Sun</t>
  </si>
  <si>
    <t>WEIGHT &amp; PROGRESS</t>
  </si>
  <si>
    <t>Weigh in once a week at a fixed time. Enter date + weight; the chart and dashboard update automatically.</t>
  </si>
  <si>
    <t>Date</t>
  </si>
  <si>
    <t>Weight (kg)</t>
  </si>
  <si>
    <t>Change (kg)</t>
  </si>
  <si>
    <t>Note</t>
  </si>
  <si>
    <t>SHOPPING LIST</t>
  </si>
  <si>
    <t>Your weekly list, by category. Tick what you already have.</t>
  </si>
  <si>
    <t>Category</t>
  </si>
  <si>
    <t>Item</t>
  </si>
  <si>
    <t>Quantity</t>
  </si>
  <si>
    <t>Got it?</t>
  </si>
  <si>
    <t>Produce</t>
  </si>
  <si>
    <t>Spinach 500g</t>
  </si>
  <si>
    <t>Broccoli 400g</t>
  </si>
  <si>
    <t>Apples 7</t>
  </si>
  <si>
    <t>Berries 300g</t>
  </si>
  <si>
    <t>Chicken 1kg</t>
  </si>
  <si>
    <t>Lean beef 500g</t>
  </si>
  <si>
    <t>Salmon 400g</t>
  </si>
  <si>
    <t>Dairy</t>
  </si>
  <si>
    <t>Low-fat quark 1kg</t>
  </si>
  <si>
    <t>Skyr 500g</t>
  </si>
  <si>
    <t>Eggs 12</t>
  </si>
  <si>
    <t>Grains</t>
  </si>
  <si>
    <t>Oats 500g</t>
  </si>
  <si>
    <t>Rice 500g</t>
  </si>
  <si>
    <t>Pasta 500g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</si>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</sst>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&quot; kg&quot;"/>
    <numFmt numFmtId="165" formatCode="\+0.0&quot; kg&quot;;\-0.0&quot; kg&quot;;0.0&quot; kg&quot;"/>
    <numFmt numFmtId="166" formatCode="#,##0&quot; kcal&quot;"/>
    <numFmt numFmtId="167" formatCode="0&quot; g&quot;"/>
    <numFmt numFmtId="168" formatCode="mm\-dd\-yyyy"/>
    <numFmt numFmtId="169" formatCode="0.0"/>
    <numFmt numFmtId="170" formatCode="\+0.0;\-0.0"/>
  </numFmts>
  <fonts count="2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8"/>
      <color rgb="FF0A0A0A"/>
      <name val="Arial"/>
      <charset val="1"/>
    </font>
    <font>
      <b/>
      <sz val="10"/>
      <color rgb="FF8C8C8C"/>
      <name val="Arial"/>
      <charset val="1"/>
    </font>
    <font>
      <b/>
      <sz val="9"/>
      <color rgb="FF8C8C8C"/>
      <name val="Arial"/>
      <charset val="1"/>
    </font>
    <font>
      <b/>
      <sz val="24"/>
      <color rgb="FF0A0A0A"/>
      <name val="Arial"/>
      <charset val="1"/>
    </font>
    <font>
      <b/>
      <sz val="24"/>
      <color rgb="FF1F9D55"/>
      <name val="Arial"/>
      <charset val="1"/>
    </font>
    <font>
      <b/>
      <sz val="16"/>
      <color rgb="FF1F9D55"/>
      <name val="Arial"/>
      <charset val="1"/>
    </font>
    <font>
      <b/>
      <sz val="11"/>
      <color rgb="FF0A0A0A"/>
      <name val="Arial"/>
      <charset val="1"/>
    </font>
    <font>
      <b/>
      <sz val="11"/>
      <color rgb="FFE8321E"/>
      <name val="Arial"/>
      <charset val="1"/>
    </font>
    <font>
      <b/>
      <sz val="12"/>
      <color rgb="FFE8321E"/>
      <name val="Arial"/>
      <charset val="1"/>
    </font>
    <font>
      <b/>
      <sz val="9"/>
      <color rgb="FFE8321E"/>
      <name val="Arial"/>
      <charset val="1"/>
    </font>
    <font>
      <sz val="11"/>
      <color rgb="FF0A0A0A"/>
      <name val="Arial"/>
      <charset val="1"/>
    </font>
    <font>
      <b/>
      <sz val="13"/>
      <color rgb="FF0A0A0A"/>
      <name val="Arial"/>
      <charset val="1"/>
    </font>
    <font>
      <sz val="10"/>
      <color rgb="FF444444"/>
      <name val="Arial"/>
      <charset val="1"/>
    </font>
    <font>
      <b/>
      <sz val="15"/>
      <color rgb="FF0A0A0A"/>
      <name val="Arial"/>
      <charset val="1"/>
    </font>
    <font>
      <i/>
      <sz val="9"/>
      <color rgb="FF8C8C8C"/>
      <name val="Arial"/>
      <charset val="1"/>
    </font>
    <font>
      <b/>
      <sz val="10"/>
      <color rgb="FFFFFFFF"/>
      <name val="Arial"/>
      <charset val="1"/>
    </font>
    <font>
      <sz val="10"/>
      <color rgb="FF0A0A0A"/>
      <name val="Arial"/>
      <charset val="1"/>
    </font>
    <font>
      <sz val="10"/>
      <color rgb="FF0000FF"/>
      <name val="Arial"/>
      <charset val="1"/>
    </font>
    <font>
      <sz val="10"/>
      <color rgb="FF8C8C8C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8321E"/>
        <bgColor rgb="FFFF6600"/>
      </patternFill>
    </fill>
    <fill>
      <patternFill patternType="solid">
        <fgColor rgb="FFFAFAFA"/>
        <bgColor rgb="FFFBFBFB"/>
      </patternFill>
    </fill>
    <fill>
      <patternFill patternType="solid">
        <fgColor rgb="FFFFF0ED"/>
        <bgColor rgb="FFF6F6F6"/>
      </patternFill>
    </fill>
    <fill>
      <patternFill patternType="solid">
        <fgColor rgb="FFFBFBFB"/>
        <bgColor rgb="FFFAFAFA"/>
      </patternFill>
    </fill>
    <fill>
      <patternFill patternType="solid">
        <fgColor rgb="FF0A0A0A"/>
        <bgColor rgb="FF000000"/>
      </patternFill>
    </fill>
    <fill>
      <patternFill patternType="solid">
        <fgColor rgb="FFF6F6F6"/>
        <bgColor rgb="FFFAFAFA"/>
      </patternFill>
    </fill>
  </fills>
  <borders count="13">
    <border>
      <left/>
      <right/>
      <top/>
      <bottom/>
      <diagonal/>
    </border>
    <border>
      <left style="thick">
        <color rgb="FFE8321E"/>
      </left>
      <right style="thin">
        <color rgb="FFE6E6E6"/>
      </right>
      <top style="thin">
        <color rgb="FFE6E6E6"/>
      </top>
      <bottom/>
      <diagonal/>
    </border>
    <border>
      <left style="thick">
        <color rgb="FF1F9D55"/>
      </left>
      <right style="thin">
        <color rgb="FFE6E6E6"/>
      </right>
      <top style="thin">
        <color rgb="FFE6E6E6"/>
      </top>
      <bottom/>
      <diagonal/>
    </border>
    <border>
      <left style="thick">
        <color rgb="FFE8321E"/>
      </left>
      <right style="thin">
        <color rgb="FFE6E6E6"/>
      </right>
      <top/>
      <bottom style="thin">
        <color rgb="FFE6E6E6"/>
      </bottom>
      <diagonal/>
    </border>
    <border>
      <left style="thick">
        <color rgb="FF1F9D55"/>
      </left>
      <right style="thin">
        <color rgb="FFE6E6E6"/>
      </right>
      <top/>
      <bottom style="thin">
        <color rgb="FFE6E6E6"/>
      </bottom>
      <diagonal/>
    </border>
    <border>
      <left style="thick">
        <color rgb="FFE8321E"/>
      </left>
      <right/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/>
      <top style="medium">
        <color rgb="FF0A0A0A"/>
      </top>
      <bottom/>
      <diagonal/>
    </border>
    <border>
      <left style="thick">
        <color rgb="FF1F9D55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ck">
        <color rgb="FFFF6A52"/>
      </left>
      <right style="thin">
        <color rgb="FFE6E6E6"/>
      </right>
      <top style="thin">
        <color rgb="FFE6E6E6"/>
      </top>
      <bottom/>
      <diagonal/>
    </border>
    <border>
      <left style="thick">
        <color rgb="FFB9B9B9"/>
      </left>
      <right style="thin">
        <color rgb="FFE6E6E6"/>
      </right>
      <top style="thin">
        <color rgb="FFE6E6E6"/>
      </top>
      <bottom/>
      <diagonal/>
    </border>
    <border>
      <left style="thick">
        <color rgb="FFFF6A52"/>
      </left>
      <right style="thin">
        <color rgb="FFE6E6E6"/>
      </right>
      <top/>
      <bottom style="thin">
        <color rgb="FFE6E6E6"/>
      </bottom>
      <diagonal/>
    </border>
    <border>
      <left style="thick">
        <color rgb="FFB9B9B9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7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indent="1"/>
    </xf>
    <xf numFmtId="0" fontId="8" fillId="4" borderId="5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166" fontId="5" fillId="3" borderId="3" xfId="0" applyNumberFormat="1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165" fontId="6" fillId="3" borderId="4" xfId="0" applyNumberFormat="1" applyFont="1" applyFill="1" applyBorder="1" applyAlignment="1">
      <alignment horizontal="left" vertical="center" indent="1"/>
    </xf>
    <xf numFmtId="164" fontId="5" fillId="3" borderId="3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right" vertical="center"/>
    </xf>
    <xf numFmtId="0" fontId="17" fillId="6" borderId="6" xfId="0" applyFont="1" applyFill="1" applyBorder="1" applyAlignment="1">
      <alignment horizontal="center" vertical="center"/>
    </xf>
    <xf numFmtId="0" fontId="18" fillId="0" borderId="6" xfId="0" applyFont="1" applyBorder="1"/>
    <xf numFmtId="0" fontId="18" fillId="0" borderId="6" xfId="0" applyFont="1" applyBorder="1" applyAlignment="1">
      <alignment horizontal="center"/>
    </xf>
    <xf numFmtId="0" fontId="18" fillId="7" borderId="6" xfId="0" applyFont="1" applyFill="1" applyBorder="1"/>
    <xf numFmtId="0" fontId="18" fillId="7" borderId="6" xfId="0" applyFont="1" applyFill="1" applyBorder="1" applyAlignment="1">
      <alignment horizontal="center"/>
    </xf>
    <xf numFmtId="168" fontId="18" fillId="0" borderId="6" xfId="0" applyNumberFormat="1" applyFont="1" applyBorder="1" applyAlignment="1">
      <alignment horizontal="center"/>
    </xf>
    <xf numFmtId="169" fontId="19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left"/>
    </xf>
    <xf numFmtId="170" fontId="18" fillId="0" borderId="6" xfId="0" applyNumberFormat="1" applyFont="1" applyBorder="1" applyAlignment="1">
      <alignment horizontal="center"/>
    </xf>
    <xf numFmtId="0" fontId="20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166" fontId="13" fillId="0" borderId="7" xfId="0" applyNumberFormat="1" applyFont="1" applyBorder="1" applyAlignment="1">
      <alignment horizontal="right" vertical="center"/>
    </xf>
    <xf numFmtId="0" fontId="14" fillId="5" borderId="8" xfId="0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left" vertical="center" indent="1"/>
    </xf>
    <xf numFmtId="0" fontId="4" fillId="3" borderId="10" xfId="0" applyFont="1" applyFill="1" applyBorder="1" applyAlignment="1">
      <alignment horizontal="left" vertical="center" indent="1"/>
    </xf>
    <xf numFmtId="167" fontId="2" fillId="3" borderId="3" xfId="0" applyNumberFormat="1" applyFont="1" applyFill="1" applyBorder="1" applyAlignment="1">
      <alignment horizontal="left" vertical="center" indent="1"/>
    </xf>
    <xf numFmtId="167" fontId="2" fillId="3" borderId="11" xfId="0" applyNumberFormat="1" applyFont="1" applyFill="1" applyBorder="1" applyAlignment="1">
      <alignment horizontal="left" vertical="center" indent="1"/>
    </xf>
    <xf numFmtId="167" fontId="2" fillId="3" borderId="12" xfId="0" applyNumberFormat="1" applyFont="1" applyFill="1" applyBorder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832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9B9"/>
      <rgbColor rgb="FF878787"/>
      <rgbColor rgb="FF9999FF"/>
      <rgbColor rgb="FF993366"/>
      <rgbColor rgb="FFFFF0ED"/>
      <rgbColor rgb="FFF6F6F6"/>
      <rgbColor rgb="FF660066"/>
      <rgbColor rgb="FFFF6A5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FAFAFA"/>
      <rgbColor rgb="FFFBFB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1F9D55"/>
      <rgbColor rgb="FF0A0A0A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Weight!$B$3</c:f>
              <c:strCache>
                <c:ptCount val="1"/>
                <c:pt idx="0">
                  <c:v>Weight (kg)</c:v>
                </c:pt>
              </c:strCache>
            </c:strRef>
          </c:tx>
          <c:spPr>
            <a:ln w="28080">
              <a:solidFill>
                <a:srgbClr val="E8321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nl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Weight!$A$4:$A$30</c:f>
              <c:numCache>
                <c:formatCode>mm\-dd\-yyyy</c:formatCode>
                <c:ptCount val="27"/>
                <c:pt idx="0">
                  <c:v>46271</c:v>
                </c:pt>
                <c:pt idx="1">
                  <c:v>46278</c:v>
                </c:pt>
                <c:pt idx="2">
                  <c:v>46285</c:v>
                </c:pt>
                <c:pt idx="3">
                  <c:v>46292</c:v>
                </c:pt>
                <c:pt idx="4">
                  <c:v>46299</c:v>
                </c:pt>
                <c:pt idx="5">
                  <c:v>46306</c:v>
                </c:pt>
                <c:pt idx="6">
                  <c:v>46313</c:v>
                </c:pt>
                <c:pt idx="7">
                  <c:v>46320</c:v>
                </c:pt>
              </c:numCache>
            </c:numRef>
          </c:cat>
          <c:val>
            <c:numRef>
              <c:f>Weight!$B$4:$B$30</c:f>
              <c:numCache>
                <c:formatCode>0.0</c:formatCode>
                <c:ptCount val="27"/>
                <c:pt idx="0">
                  <c:v>88.6</c:v>
                </c:pt>
                <c:pt idx="1">
                  <c:v>88.2</c:v>
                </c:pt>
                <c:pt idx="2">
                  <c:v>88.4</c:v>
                </c:pt>
                <c:pt idx="3">
                  <c:v>87.9</c:v>
                </c:pt>
                <c:pt idx="4">
                  <c:v>87.6</c:v>
                </c:pt>
                <c:pt idx="5">
                  <c:v>87.7</c:v>
                </c:pt>
                <c:pt idx="6">
                  <c:v>87.2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7-4D84-9793-24304CD89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125726"/>
        <c:axId val="36317127"/>
      </c:lineChart>
      <c:dateAx>
        <c:axId val="63125726"/>
        <c:scaling>
          <c:orientation val="minMax"/>
        </c:scaling>
        <c:delete val="0"/>
        <c:axPos val="b"/>
        <c:numFmt formatCode="mm\-dd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nl-NL"/>
          </a:p>
        </c:txPr>
        <c:crossAx val="36317127"/>
        <c:crosses val="autoZero"/>
        <c:auto val="1"/>
        <c:lblOffset val="100"/>
        <c:baseTimeUnit val="days"/>
      </c:dateAx>
      <c:valAx>
        <c:axId val="3631712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nl-NL"/>
          </a:p>
        </c:txPr>
        <c:crossAx val="631257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78120</xdr:colOff>
      <xdr:row>14</xdr:row>
      <xdr:rowOff>97920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321E"/>
  </sheetPr>
  <dimension ref="A1:N20"/>
  <sheetViews>
    <sheetView showGridLines="0" tabSelected="1" zoomScaleNormal="100" workbookViewId="0">
      <selection activeCell="K8" sqref="K8:L8"/>
    </sheetView>
  </sheetViews>
  <sheetFormatPr defaultColWidth="8.6640625" defaultRowHeight="14.4" x14ac:dyDescent="0.3"/>
  <cols>
    <col min="1" max="12" width="9.5546875" customWidth="1"/>
    <col min="14" max="14" width="13" hidden="1" customWidth="1"/>
  </cols>
  <sheetData>
    <row r="1" spans="1:14" ht="21.75" customHeight="1" x14ac:dyDescent="0.3">
      <c r="A1" s="14" t="s">
        <v>0</v>
      </c>
      <c r="B1" s="13" t="s">
        <v>1</v>
      </c>
      <c r="C1" s="13"/>
      <c r="D1" s="13"/>
      <c r="E1" s="13"/>
      <c r="F1" s="13"/>
      <c r="I1" s="12" t="s">
        <v>2</v>
      </c>
      <c r="J1" s="12"/>
      <c r="K1" s="12"/>
      <c r="L1" s="12"/>
      <c r="N1">
        <f>IFERROR(LOOKUP(2,1/(Weight!$B$4:$B$30&lt;&gt;""),Weight!$B$4:$B$30),"")</f>
        <v>87</v>
      </c>
    </row>
    <row r="2" spans="1:14" ht="19.5" customHeight="1" x14ac:dyDescent="0.3">
      <c r="A2" s="14"/>
      <c r="B2" s="14"/>
      <c r="C2" s="13"/>
      <c r="D2" s="13"/>
      <c r="E2" s="13"/>
      <c r="F2" s="13"/>
      <c r="I2" s="12"/>
      <c r="J2" s="12"/>
      <c r="K2" s="12"/>
      <c r="L2" s="12"/>
      <c r="N2">
        <f>IFERROR(LOOKUP(2,1/(Weight!$C$4:$C$30&lt;&gt;""),Weight!$C$4:$C$30),"")</f>
        <v>-0.20000000000000284</v>
      </c>
    </row>
    <row r="3" spans="1:14" x14ac:dyDescent="0.3">
      <c r="N3">
        <f>IF(AND(N1&lt;&gt;"",N2&lt;&gt;""),N2/N1,"")</f>
        <v>-2.2988505747126762E-3</v>
      </c>
    </row>
    <row r="4" spans="1:14" ht="19.5" customHeight="1" x14ac:dyDescent="0.3">
      <c r="A4" s="11" t="s">
        <v>3</v>
      </c>
      <c r="B4" s="11"/>
      <c r="C4" s="11"/>
      <c r="D4" s="10" t="s">
        <v>4</v>
      </c>
      <c r="E4" s="10"/>
      <c r="F4" s="10"/>
      <c r="G4" s="10" t="s">
        <v>5</v>
      </c>
      <c r="H4" s="10"/>
      <c r="I4" s="10"/>
      <c r="J4" s="11" t="s">
        <v>6</v>
      </c>
      <c r="K4" s="11"/>
      <c r="L4" s="11"/>
    </row>
    <row r="5" spans="1:14" ht="19.5" customHeight="1" x14ac:dyDescent="0.3">
      <c r="A5" s="9">
        <f>N1</f>
        <v>87</v>
      </c>
      <c r="B5" s="9"/>
      <c r="C5" s="9"/>
      <c r="D5" s="8">
        <f>N2</f>
        <v>-0.20000000000000284</v>
      </c>
      <c r="E5" s="8"/>
      <c r="F5" s="8"/>
      <c r="G5" s="7" t="str">
        <f>IF(N3="","",IF(N3&lt;-0.01,"! Too fast",IF(N3&lt;-0.003,"✓ On track",IF(N3&lt;=0.003,"– Stable",IF(N3&lt;=0.01,"✓ On track","! Too fast")))))</f>
        <v>– Stable</v>
      </c>
      <c r="H5" s="7"/>
      <c r="I5" s="7"/>
      <c r="J5" s="6">
        <f>SUMIFS('Meal plan'!$E$4:$E$31,'Meal plan'!$A$4:$A$31,$K$8)</f>
        <v>1940</v>
      </c>
      <c r="K5" s="6"/>
      <c r="L5" s="6"/>
    </row>
    <row r="6" spans="1:14" ht="19.5" customHeight="1" x14ac:dyDescent="0.3">
      <c r="A6" s="9"/>
      <c r="B6" s="9"/>
      <c r="C6" s="9"/>
      <c r="D6" s="8"/>
      <c r="E6" s="8"/>
      <c r="F6" s="8"/>
      <c r="G6" s="7"/>
      <c r="H6" s="7"/>
      <c r="I6" s="7"/>
      <c r="J6" s="6"/>
      <c r="K6" s="6"/>
      <c r="L6" s="6"/>
    </row>
    <row r="7" spans="1:14" ht="7.5" customHeight="1" x14ac:dyDescent="0.3"/>
    <row r="8" spans="1:14" x14ac:dyDescent="0.3">
      <c r="A8" s="5" t="s">
        <v>7</v>
      </c>
      <c r="B8" s="5"/>
      <c r="C8" s="5"/>
      <c r="D8" s="5"/>
      <c r="E8" s="5"/>
      <c r="F8" s="5"/>
      <c r="G8" s="4" t="s">
        <v>8</v>
      </c>
      <c r="H8" s="4"/>
      <c r="I8" s="4"/>
      <c r="J8" s="4"/>
      <c r="K8" s="3" t="s">
        <v>58</v>
      </c>
      <c r="L8" s="3"/>
    </row>
    <row r="9" spans="1:14" ht="27.75" customHeight="1" x14ac:dyDescent="0.3">
      <c r="G9" s="15" t="s">
        <v>88</v>
      </c>
      <c r="H9" s="16" t="s">
        <v>10</v>
      </c>
      <c r="I9" s="2" t="str">
        <f>IFERROR(INDEX('Meal plan'!$C$4:$C$31,MATCH($K$8&amp;"|"&amp;"Breakfast",'Meal plan'!$I$4:$I$31,0)),"")</f>
        <v>High-protein pancakes</v>
      </c>
      <c r="J9" s="2"/>
      <c r="K9" s="2"/>
      <c r="L9" s="17">
        <f>IFERROR(INDEX('Meal plan'!$E$4:$E$31,MATCH($K$8&amp;"|"&amp;"Breakfast",'Meal plan'!$I$4:$I$31,0)),"")</f>
        <v>480</v>
      </c>
    </row>
    <row r="10" spans="1:14" ht="27.75" customHeight="1" x14ac:dyDescent="0.3">
      <c r="G10" s="15" t="s">
        <v>88</v>
      </c>
      <c r="H10" s="16" t="s">
        <v>11</v>
      </c>
      <c r="I10" s="2" t="str">
        <f>IFERROR(INDEX('Meal plan'!$C$4:$C$31,MATCH($K$8&amp;"|"&amp;"Lunch",'Meal plan'!$I$4:$I$31,0)),"")</f>
        <v>Beef &amp; avocado bowl</v>
      </c>
      <c r="J10" s="2"/>
      <c r="K10" s="2"/>
      <c r="L10" s="17">
        <f>IFERROR(INDEX('Meal plan'!$E$4:$E$31,MATCH($K$8&amp;"|"&amp;"Lunch",'Meal plan'!$I$4:$I$31,0)),"")</f>
        <v>600</v>
      </c>
    </row>
    <row r="11" spans="1:14" ht="27.75" customHeight="1" x14ac:dyDescent="0.3">
      <c r="G11" s="15"/>
      <c r="H11" s="16" t="s">
        <v>12</v>
      </c>
      <c r="I11" s="2" t="str">
        <f>IFERROR(INDEX('Meal plan'!$C$4:$C$31,MATCH($K$8&amp;"|"&amp;"Dinner",'Meal plan'!$I$4:$I$31,0)),"")</f>
        <v>Chicken &amp; sweet potato</v>
      </c>
      <c r="J11" s="2"/>
      <c r="K11" s="2"/>
      <c r="L11" s="17">
        <f>IFERROR(INDEX('Meal plan'!$E$4:$E$31,MATCH($K$8&amp;"|"&amp;"Dinner",'Meal plan'!$I$4:$I$31,0)),"")</f>
        <v>620</v>
      </c>
    </row>
    <row r="12" spans="1:14" ht="27.75" customHeight="1" x14ac:dyDescent="0.3">
      <c r="G12" s="15"/>
      <c r="H12" s="16" t="s">
        <v>13</v>
      </c>
      <c r="I12" s="2" t="str">
        <f>IFERROR(INDEX('Meal plan'!$C$4:$C$31,MATCH($K$8&amp;"|"&amp;"Snack",'Meal plan'!$I$4:$I$31,0)),"")</f>
        <v>Skyr with honey</v>
      </c>
      <c r="J12" s="2"/>
      <c r="K12" s="2"/>
      <c r="L12" s="17">
        <f>IFERROR(INDEX('Meal plan'!$E$4:$E$31,MATCH($K$8&amp;"|"&amp;"Snack",'Meal plan'!$I$4:$I$31,0)),"")</f>
        <v>240</v>
      </c>
    </row>
    <row r="13" spans="1:14" ht="21.75" customHeight="1" x14ac:dyDescent="0.3">
      <c r="G13" s="1" t="s">
        <v>14</v>
      </c>
      <c r="H13" s="1"/>
      <c r="I13" s="1"/>
      <c r="J13" s="30">
        <f>SUMIFS('Meal plan'!$E$4:$E$31,'Meal plan'!$A$4:$A$31,$K$8)</f>
        <v>1940</v>
      </c>
      <c r="K13" s="30"/>
      <c r="L13" s="30"/>
    </row>
    <row r="14" spans="1:14" ht="9.75" customHeight="1" x14ac:dyDescent="0.3"/>
    <row r="15" spans="1:14" ht="9.75" customHeight="1" x14ac:dyDescent="0.3"/>
    <row r="16" spans="1:14" ht="30" customHeight="1" x14ac:dyDescent="0.3">
      <c r="A16" s="31" t="str">
        <f>IF(N3="","Responsible pace — ~0.5–1% per week. This protects muscle and recovery.",IF(OR(N3&lt;-0.01,N3&gt;0.01),"You're changing faster than 1% per week. Adjust your calories a bit.",IF(N3&gt;-0.003,"Little change. Be patient, or adjust your calories slightly.","Responsible pace — ~0.5–1% per week. This protects muscle and recovery.")))</f>
        <v>Little change. Be patient, or adjust your calories slightly.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1:12" ht="7.5" customHeight="1" x14ac:dyDescent="0.3"/>
    <row r="18" spans="1:12" x14ac:dyDescent="0.3">
      <c r="A18" s="5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8" customHeight="1" x14ac:dyDescent="0.3">
      <c r="A19" s="11" t="s">
        <v>16</v>
      </c>
      <c r="B19" s="11"/>
      <c r="C19" s="11"/>
      <c r="D19" s="11"/>
      <c r="E19" s="32" t="s">
        <v>17</v>
      </c>
      <c r="F19" s="32"/>
      <c r="G19" s="32"/>
      <c r="H19" s="32"/>
      <c r="I19" s="33" t="s">
        <v>18</v>
      </c>
      <c r="J19" s="33"/>
      <c r="K19" s="33"/>
      <c r="L19" s="33"/>
    </row>
    <row r="20" spans="1:12" ht="25.5" customHeight="1" x14ac:dyDescent="0.3">
      <c r="A20" s="34">
        <f>SUMIFS('Meal plan'!$F$4:$F$31,'Meal plan'!$A$4:$A$31,$K$8)</f>
        <v>155</v>
      </c>
      <c r="B20" s="34"/>
      <c r="C20" s="34"/>
      <c r="D20" s="34"/>
      <c r="E20" s="35">
        <f>SUMIFS('Meal plan'!$G$4:$G$31,'Meal plan'!$A$4:$A$31,$K$8)</f>
        <v>150</v>
      </c>
      <c r="F20" s="35"/>
      <c r="G20" s="35"/>
      <c r="H20" s="35"/>
      <c r="I20" s="36">
        <f>SUMIFS('Meal plan'!$H$4:$H$31,'Meal plan'!$A$4:$A$31,$K$8)</f>
        <v>56</v>
      </c>
      <c r="J20" s="36"/>
      <c r="K20" s="36"/>
      <c r="L20" s="36"/>
    </row>
  </sheetData>
  <mergeCells count="28">
    <mergeCell ref="A20:D20"/>
    <mergeCell ref="E20:H20"/>
    <mergeCell ref="I20:L20"/>
    <mergeCell ref="A16:L16"/>
    <mergeCell ref="A18:L18"/>
    <mergeCell ref="A19:D19"/>
    <mergeCell ref="E19:H19"/>
    <mergeCell ref="I19:L19"/>
    <mergeCell ref="I9:K9"/>
    <mergeCell ref="I10:K10"/>
    <mergeCell ref="I11:K11"/>
    <mergeCell ref="I12:K12"/>
    <mergeCell ref="G13:I13"/>
    <mergeCell ref="J13:L13"/>
    <mergeCell ref="A5:C6"/>
    <mergeCell ref="D5:F6"/>
    <mergeCell ref="G5:I6"/>
    <mergeCell ref="J5:L6"/>
    <mergeCell ref="A8:F8"/>
    <mergeCell ref="G8:J8"/>
    <mergeCell ref="K8:L8"/>
    <mergeCell ref="A1:A2"/>
    <mergeCell ref="B1:F2"/>
    <mergeCell ref="I1:L2"/>
    <mergeCell ref="A4:C4"/>
    <mergeCell ref="D4:F4"/>
    <mergeCell ref="G4:I4"/>
    <mergeCell ref="J4:L4"/>
  </mergeCells>
  <dataValidations count="2">
    <dataValidation type="list" sqref="K8" xr:uid="{00000000-0002-0000-0000-000000000000}">
      <formula1>"Mon,Tue,Wed,Thu,Fri,Sat,Sun"</formula1>
      <formula2>0</formula2>
    </dataValidation>
    <dataValidation type="list" allowBlank="1" sqref="G9:G12" xr:uid="{00000000-0002-0000-0000-000001000000}">
      <formula1>"✓,—"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I31"/>
  <sheetViews>
    <sheetView showGridLines="0" zoomScaleNormal="100" workbookViewId="0">
      <selection activeCell="H4" sqref="H4"/>
    </sheetView>
  </sheetViews>
  <sheetFormatPr defaultColWidth="8.6640625" defaultRowHeight="14.4" x14ac:dyDescent="0.3"/>
  <cols>
    <col min="1" max="1" width="6" customWidth="1"/>
    <col min="2" max="2" width="10" customWidth="1"/>
    <col min="3" max="3" width="30" customWidth="1"/>
    <col min="4" max="4" width="40" customWidth="1"/>
    <col min="5" max="5" width="7" customWidth="1"/>
    <col min="6" max="7" width="9" customWidth="1"/>
    <col min="8" max="8" width="8" customWidth="1"/>
    <col min="9" max="9" width="14" hidden="1" customWidth="1"/>
  </cols>
  <sheetData>
    <row r="1" spans="1:9" ht="19.2" x14ac:dyDescent="0.35">
      <c r="A1" s="37" t="s">
        <v>19</v>
      </c>
      <c r="B1" s="37"/>
      <c r="C1" s="37"/>
      <c r="D1" s="37"/>
      <c r="E1" s="37"/>
      <c r="F1" s="37"/>
      <c r="G1" s="37"/>
      <c r="H1" s="37"/>
    </row>
    <row r="2" spans="1:9" x14ac:dyDescent="0.3">
      <c r="A2" s="38" t="s">
        <v>20</v>
      </c>
      <c r="B2" s="38"/>
      <c r="C2" s="38"/>
      <c r="D2" s="38"/>
      <c r="E2" s="38"/>
      <c r="F2" s="38"/>
      <c r="G2" s="38"/>
      <c r="H2" s="38"/>
    </row>
    <row r="3" spans="1:9" x14ac:dyDescent="0.3">
      <c r="A3" s="18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  <c r="G3" s="18" t="s">
        <v>27</v>
      </c>
      <c r="H3" s="18" t="s">
        <v>28</v>
      </c>
      <c r="I3" t="s">
        <v>29</v>
      </c>
    </row>
    <row r="4" spans="1:9" x14ac:dyDescent="0.3">
      <c r="A4" s="19" t="s">
        <v>9</v>
      </c>
      <c r="B4" s="19" t="s">
        <v>10</v>
      </c>
      <c r="C4" s="19" t="s">
        <v>30</v>
      </c>
      <c r="D4" s="19" t="s">
        <v>31</v>
      </c>
      <c r="E4" s="20">
        <v>640</v>
      </c>
      <c r="F4" s="20">
        <v>30</v>
      </c>
      <c r="G4" s="20">
        <v>82</v>
      </c>
      <c r="H4" s="20">
        <v>18</v>
      </c>
      <c r="I4" t="str">
        <f t="shared" ref="I4:I31" si="0">$A4&amp;"|"&amp;$B4</f>
        <v>Mon|Breakfast</v>
      </c>
    </row>
    <row r="5" spans="1:9" x14ac:dyDescent="0.3">
      <c r="A5" s="19" t="s">
        <v>9</v>
      </c>
      <c r="B5" s="19" t="s">
        <v>11</v>
      </c>
      <c r="C5" s="19" t="s">
        <v>32</v>
      </c>
      <c r="D5" s="19" t="s">
        <v>33</v>
      </c>
      <c r="E5" s="20">
        <v>560</v>
      </c>
      <c r="F5" s="20">
        <v>48</v>
      </c>
      <c r="G5" s="20">
        <v>55</v>
      </c>
      <c r="H5" s="20">
        <v>12</v>
      </c>
      <c r="I5" t="str">
        <f t="shared" si="0"/>
        <v>Mon|Lunch</v>
      </c>
    </row>
    <row r="6" spans="1:9" x14ac:dyDescent="0.3">
      <c r="A6" s="19" t="s">
        <v>9</v>
      </c>
      <c r="B6" s="19" t="s">
        <v>12</v>
      </c>
      <c r="C6" s="19" t="s">
        <v>34</v>
      </c>
      <c r="D6" s="19" t="s">
        <v>35</v>
      </c>
      <c r="E6" s="20">
        <v>720</v>
      </c>
      <c r="F6" s="20">
        <v>42</v>
      </c>
      <c r="G6" s="20">
        <v>92</v>
      </c>
      <c r="H6" s="20">
        <v>16</v>
      </c>
      <c r="I6" t="str">
        <f t="shared" si="0"/>
        <v>Mon|Dinner</v>
      </c>
    </row>
    <row r="7" spans="1:9" x14ac:dyDescent="0.3">
      <c r="A7" s="19" t="s">
        <v>9</v>
      </c>
      <c r="B7" s="19" t="s">
        <v>13</v>
      </c>
      <c r="C7" s="19" t="s">
        <v>36</v>
      </c>
      <c r="D7" s="19" t="s">
        <v>37</v>
      </c>
      <c r="E7" s="20">
        <v>300</v>
      </c>
      <c r="F7" s="20">
        <v>28</v>
      </c>
      <c r="G7" s="20">
        <v>10</v>
      </c>
      <c r="H7" s="20">
        <v>14</v>
      </c>
      <c r="I7" t="str">
        <f t="shared" si="0"/>
        <v>Mon|Snack</v>
      </c>
    </row>
    <row r="8" spans="1:9" x14ac:dyDescent="0.3">
      <c r="A8" s="21" t="s">
        <v>38</v>
      </c>
      <c r="B8" s="21" t="s">
        <v>10</v>
      </c>
      <c r="C8" s="21" t="s">
        <v>39</v>
      </c>
      <c r="D8" s="21" t="s">
        <v>40</v>
      </c>
      <c r="E8" s="22">
        <v>430</v>
      </c>
      <c r="F8" s="22">
        <v>42</v>
      </c>
      <c r="G8" s="22">
        <v>45</v>
      </c>
      <c r="H8" s="22">
        <v>6</v>
      </c>
      <c r="I8" t="str">
        <f t="shared" si="0"/>
        <v>Tue|Breakfast</v>
      </c>
    </row>
    <row r="9" spans="1:9" x14ac:dyDescent="0.3">
      <c r="A9" s="21" t="s">
        <v>38</v>
      </c>
      <c r="B9" s="21" t="s">
        <v>11</v>
      </c>
      <c r="C9" s="21" t="s">
        <v>41</v>
      </c>
      <c r="D9" s="21" t="s">
        <v>42</v>
      </c>
      <c r="E9" s="22">
        <v>470</v>
      </c>
      <c r="F9" s="22">
        <v>38</v>
      </c>
      <c r="G9" s="22">
        <v>48</v>
      </c>
      <c r="H9" s="22">
        <v>10</v>
      </c>
      <c r="I9" t="str">
        <f t="shared" si="0"/>
        <v>Tue|Lunch</v>
      </c>
    </row>
    <row r="10" spans="1:9" x14ac:dyDescent="0.3">
      <c r="A10" s="21" t="s">
        <v>38</v>
      </c>
      <c r="B10" s="21" t="s">
        <v>12</v>
      </c>
      <c r="C10" s="21" t="s">
        <v>43</v>
      </c>
      <c r="D10" s="21" t="s">
        <v>44</v>
      </c>
      <c r="E10" s="22">
        <v>640</v>
      </c>
      <c r="F10" s="22">
        <v>40</v>
      </c>
      <c r="G10" s="22">
        <v>45</v>
      </c>
      <c r="H10" s="22">
        <v>26</v>
      </c>
      <c r="I10" t="str">
        <f t="shared" si="0"/>
        <v>Tue|Dinner</v>
      </c>
    </row>
    <row r="11" spans="1:9" x14ac:dyDescent="0.3">
      <c r="A11" s="21" t="s">
        <v>38</v>
      </c>
      <c r="B11" s="21" t="s">
        <v>13</v>
      </c>
      <c r="C11" s="21" t="s">
        <v>45</v>
      </c>
      <c r="D11" s="21" t="s">
        <v>46</v>
      </c>
      <c r="E11" s="22">
        <v>280</v>
      </c>
      <c r="F11" s="22">
        <v>20</v>
      </c>
      <c r="G11" s="22">
        <v>32</v>
      </c>
      <c r="H11" s="22">
        <v>7</v>
      </c>
      <c r="I11" t="str">
        <f t="shared" si="0"/>
        <v>Tue|Snack</v>
      </c>
    </row>
    <row r="12" spans="1:9" x14ac:dyDescent="0.3">
      <c r="A12" s="19" t="s">
        <v>47</v>
      </c>
      <c r="B12" s="19" t="s">
        <v>10</v>
      </c>
      <c r="C12" s="19" t="s">
        <v>48</v>
      </c>
      <c r="D12" s="19" t="s">
        <v>49</v>
      </c>
      <c r="E12" s="20">
        <v>600</v>
      </c>
      <c r="F12" s="20">
        <v>38</v>
      </c>
      <c r="G12" s="20">
        <v>76</v>
      </c>
      <c r="H12" s="20">
        <v>10</v>
      </c>
      <c r="I12" t="str">
        <f t="shared" si="0"/>
        <v>Wed|Breakfast</v>
      </c>
    </row>
    <row r="13" spans="1:9" x14ac:dyDescent="0.3">
      <c r="A13" s="19" t="s">
        <v>47</v>
      </c>
      <c r="B13" s="19" t="s">
        <v>11</v>
      </c>
      <c r="C13" s="19" t="s">
        <v>50</v>
      </c>
      <c r="D13" s="19" t="s">
        <v>51</v>
      </c>
      <c r="E13" s="20">
        <v>600</v>
      </c>
      <c r="F13" s="20">
        <v>45</v>
      </c>
      <c r="G13" s="20">
        <v>22</v>
      </c>
      <c r="H13" s="20">
        <v>30</v>
      </c>
      <c r="I13" t="str">
        <f t="shared" si="0"/>
        <v>Wed|Lunch</v>
      </c>
    </row>
    <row r="14" spans="1:9" x14ac:dyDescent="0.3">
      <c r="A14" s="19" t="s">
        <v>47</v>
      </c>
      <c r="B14" s="19" t="s">
        <v>12</v>
      </c>
      <c r="C14" s="19" t="s">
        <v>52</v>
      </c>
      <c r="D14" s="19" t="s">
        <v>53</v>
      </c>
      <c r="E14" s="20">
        <v>740</v>
      </c>
      <c r="F14" s="20">
        <v>50</v>
      </c>
      <c r="G14" s="20">
        <v>88</v>
      </c>
      <c r="H14" s="20">
        <v>14</v>
      </c>
      <c r="I14" t="str">
        <f t="shared" si="0"/>
        <v>Wed|Dinner</v>
      </c>
    </row>
    <row r="15" spans="1:9" x14ac:dyDescent="0.3">
      <c r="A15" s="19" t="s">
        <v>47</v>
      </c>
      <c r="B15" s="19" t="s">
        <v>13</v>
      </c>
      <c r="C15" s="19" t="s">
        <v>54</v>
      </c>
      <c r="D15" s="19" t="s">
        <v>55</v>
      </c>
      <c r="E15" s="20">
        <v>240</v>
      </c>
      <c r="F15" s="20">
        <v>22</v>
      </c>
      <c r="G15" s="20">
        <v>24</v>
      </c>
      <c r="H15" s="20">
        <v>2</v>
      </c>
      <c r="I15" t="str">
        <f t="shared" si="0"/>
        <v>Wed|Snack</v>
      </c>
    </row>
    <row r="16" spans="1:9" x14ac:dyDescent="0.3">
      <c r="A16" s="21" t="s">
        <v>56</v>
      </c>
      <c r="B16" s="21" t="s">
        <v>10</v>
      </c>
      <c r="C16" s="21" t="s">
        <v>30</v>
      </c>
      <c r="D16" s="21" t="s">
        <v>31</v>
      </c>
      <c r="E16" s="22">
        <v>520</v>
      </c>
      <c r="F16" s="22">
        <v>30</v>
      </c>
      <c r="G16" s="22">
        <v>52</v>
      </c>
      <c r="H16" s="22">
        <v>18</v>
      </c>
      <c r="I16" t="str">
        <f t="shared" si="0"/>
        <v>Thu|Breakfast</v>
      </c>
    </row>
    <row r="17" spans="1:9" x14ac:dyDescent="0.3">
      <c r="A17" s="21" t="s">
        <v>56</v>
      </c>
      <c r="B17" s="21" t="s">
        <v>11</v>
      </c>
      <c r="C17" s="21" t="s">
        <v>32</v>
      </c>
      <c r="D17" s="21" t="s">
        <v>33</v>
      </c>
      <c r="E17" s="22">
        <v>560</v>
      </c>
      <c r="F17" s="22">
        <v>48</v>
      </c>
      <c r="G17" s="22">
        <v>55</v>
      </c>
      <c r="H17" s="22">
        <v>12</v>
      </c>
      <c r="I17" t="str">
        <f t="shared" si="0"/>
        <v>Thu|Lunch</v>
      </c>
    </row>
    <row r="18" spans="1:9" x14ac:dyDescent="0.3">
      <c r="A18" s="21" t="s">
        <v>56</v>
      </c>
      <c r="B18" s="21" t="s">
        <v>12</v>
      </c>
      <c r="C18" s="21" t="s">
        <v>34</v>
      </c>
      <c r="D18" s="21" t="s">
        <v>35</v>
      </c>
      <c r="E18" s="22">
        <v>600</v>
      </c>
      <c r="F18" s="22">
        <v>42</v>
      </c>
      <c r="G18" s="22">
        <v>62</v>
      </c>
      <c r="H18" s="22">
        <v>16</v>
      </c>
      <c r="I18" t="str">
        <f t="shared" si="0"/>
        <v>Thu|Dinner</v>
      </c>
    </row>
    <row r="19" spans="1:9" x14ac:dyDescent="0.3">
      <c r="A19" s="21" t="s">
        <v>56</v>
      </c>
      <c r="B19" s="21" t="s">
        <v>13</v>
      </c>
      <c r="C19" s="21" t="s">
        <v>36</v>
      </c>
      <c r="D19" s="21" t="s">
        <v>37</v>
      </c>
      <c r="E19" s="22">
        <v>300</v>
      </c>
      <c r="F19" s="22">
        <v>28</v>
      </c>
      <c r="G19" s="22">
        <v>10</v>
      </c>
      <c r="H19" s="22">
        <v>14</v>
      </c>
      <c r="I19" t="str">
        <f t="shared" si="0"/>
        <v>Thu|Snack</v>
      </c>
    </row>
    <row r="20" spans="1:9" x14ac:dyDescent="0.3">
      <c r="A20" s="19" t="s">
        <v>57</v>
      </c>
      <c r="B20" s="19" t="s">
        <v>10</v>
      </c>
      <c r="C20" s="19" t="s">
        <v>39</v>
      </c>
      <c r="D20" s="19" t="s">
        <v>40</v>
      </c>
      <c r="E20" s="20">
        <v>550</v>
      </c>
      <c r="F20" s="20">
        <v>42</v>
      </c>
      <c r="G20" s="20">
        <v>75</v>
      </c>
      <c r="H20" s="20">
        <v>6</v>
      </c>
      <c r="I20" t="str">
        <f t="shared" si="0"/>
        <v>Fri|Breakfast</v>
      </c>
    </row>
    <row r="21" spans="1:9" x14ac:dyDescent="0.3">
      <c r="A21" s="19" t="s">
        <v>57</v>
      </c>
      <c r="B21" s="19" t="s">
        <v>11</v>
      </c>
      <c r="C21" s="19" t="s">
        <v>41</v>
      </c>
      <c r="D21" s="19" t="s">
        <v>42</v>
      </c>
      <c r="E21" s="20">
        <v>470</v>
      </c>
      <c r="F21" s="20">
        <v>38</v>
      </c>
      <c r="G21" s="20">
        <v>48</v>
      </c>
      <c r="H21" s="20">
        <v>10</v>
      </c>
      <c r="I21" t="str">
        <f t="shared" si="0"/>
        <v>Fri|Lunch</v>
      </c>
    </row>
    <row r="22" spans="1:9" x14ac:dyDescent="0.3">
      <c r="A22" s="19" t="s">
        <v>57</v>
      </c>
      <c r="B22" s="19" t="s">
        <v>12</v>
      </c>
      <c r="C22" s="19" t="s">
        <v>43</v>
      </c>
      <c r="D22" s="19" t="s">
        <v>44</v>
      </c>
      <c r="E22" s="20">
        <v>760</v>
      </c>
      <c r="F22" s="20">
        <v>40</v>
      </c>
      <c r="G22" s="20">
        <v>75</v>
      </c>
      <c r="H22" s="20">
        <v>26</v>
      </c>
      <c r="I22" t="str">
        <f t="shared" si="0"/>
        <v>Fri|Dinner</v>
      </c>
    </row>
    <row r="23" spans="1:9" x14ac:dyDescent="0.3">
      <c r="A23" s="19" t="s">
        <v>57</v>
      </c>
      <c r="B23" s="19" t="s">
        <v>13</v>
      </c>
      <c r="C23" s="19" t="s">
        <v>45</v>
      </c>
      <c r="D23" s="19" t="s">
        <v>46</v>
      </c>
      <c r="E23" s="20">
        <v>280</v>
      </c>
      <c r="F23" s="20">
        <v>20</v>
      </c>
      <c r="G23" s="20">
        <v>32</v>
      </c>
      <c r="H23" s="20">
        <v>7</v>
      </c>
      <c r="I23" t="str">
        <f t="shared" si="0"/>
        <v>Fri|Snack</v>
      </c>
    </row>
    <row r="24" spans="1:9" x14ac:dyDescent="0.3">
      <c r="A24" s="21" t="s">
        <v>58</v>
      </c>
      <c r="B24" s="21" t="s">
        <v>10</v>
      </c>
      <c r="C24" s="21" t="s">
        <v>48</v>
      </c>
      <c r="D24" s="21" t="s">
        <v>49</v>
      </c>
      <c r="E24" s="22">
        <v>480</v>
      </c>
      <c r="F24" s="22">
        <v>38</v>
      </c>
      <c r="G24" s="22">
        <v>46</v>
      </c>
      <c r="H24" s="22">
        <v>10</v>
      </c>
      <c r="I24" t="str">
        <f t="shared" si="0"/>
        <v>Sat|Breakfast</v>
      </c>
    </row>
    <row r="25" spans="1:9" x14ac:dyDescent="0.3">
      <c r="A25" s="21" t="s">
        <v>58</v>
      </c>
      <c r="B25" s="21" t="s">
        <v>11</v>
      </c>
      <c r="C25" s="21" t="s">
        <v>50</v>
      </c>
      <c r="D25" s="21" t="s">
        <v>51</v>
      </c>
      <c r="E25" s="22">
        <v>600</v>
      </c>
      <c r="F25" s="22">
        <v>45</v>
      </c>
      <c r="G25" s="22">
        <v>22</v>
      </c>
      <c r="H25" s="22">
        <v>30</v>
      </c>
      <c r="I25" t="str">
        <f t="shared" si="0"/>
        <v>Sat|Lunch</v>
      </c>
    </row>
    <row r="26" spans="1:9" x14ac:dyDescent="0.3">
      <c r="A26" s="21" t="s">
        <v>58</v>
      </c>
      <c r="B26" s="21" t="s">
        <v>12</v>
      </c>
      <c r="C26" s="21" t="s">
        <v>52</v>
      </c>
      <c r="D26" s="21" t="s">
        <v>53</v>
      </c>
      <c r="E26" s="22">
        <v>620</v>
      </c>
      <c r="F26" s="22">
        <v>50</v>
      </c>
      <c r="G26" s="22">
        <v>58</v>
      </c>
      <c r="H26" s="22">
        <v>14</v>
      </c>
      <c r="I26" t="str">
        <f t="shared" si="0"/>
        <v>Sat|Dinner</v>
      </c>
    </row>
    <row r="27" spans="1:9" x14ac:dyDescent="0.3">
      <c r="A27" s="21" t="s">
        <v>58</v>
      </c>
      <c r="B27" s="21" t="s">
        <v>13</v>
      </c>
      <c r="C27" s="21" t="s">
        <v>54</v>
      </c>
      <c r="D27" s="21" t="s">
        <v>55</v>
      </c>
      <c r="E27" s="22">
        <v>240</v>
      </c>
      <c r="F27" s="22">
        <v>22</v>
      </c>
      <c r="G27" s="22">
        <v>24</v>
      </c>
      <c r="H27" s="22">
        <v>2</v>
      </c>
      <c r="I27" t="str">
        <f t="shared" si="0"/>
        <v>Sat|Snack</v>
      </c>
    </row>
    <row r="28" spans="1:9" x14ac:dyDescent="0.3">
      <c r="A28" s="19" t="s">
        <v>59</v>
      </c>
      <c r="B28" s="19" t="s">
        <v>10</v>
      </c>
      <c r="C28" s="19" t="s">
        <v>30</v>
      </c>
      <c r="D28" s="19" t="s">
        <v>31</v>
      </c>
      <c r="E28" s="20">
        <v>520</v>
      </c>
      <c r="F28" s="20">
        <v>30</v>
      </c>
      <c r="G28" s="20">
        <v>52</v>
      </c>
      <c r="H28" s="20">
        <v>18</v>
      </c>
      <c r="I28" t="str">
        <f t="shared" si="0"/>
        <v>Sun|Breakfast</v>
      </c>
    </row>
    <row r="29" spans="1:9" x14ac:dyDescent="0.3">
      <c r="A29" s="19" t="s">
        <v>59</v>
      </c>
      <c r="B29" s="19" t="s">
        <v>11</v>
      </c>
      <c r="C29" s="19" t="s">
        <v>32</v>
      </c>
      <c r="D29" s="19" t="s">
        <v>33</v>
      </c>
      <c r="E29" s="20">
        <v>560</v>
      </c>
      <c r="F29" s="20">
        <v>48</v>
      </c>
      <c r="G29" s="20">
        <v>55</v>
      </c>
      <c r="H29" s="20">
        <v>12</v>
      </c>
      <c r="I29" t="str">
        <f t="shared" si="0"/>
        <v>Sun|Lunch</v>
      </c>
    </row>
    <row r="30" spans="1:9" x14ac:dyDescent="0.3">
      <c r="A30" s="19" t="s">
        <v>59</v>
      </c>
      <c r="B30" s="19" t="s">
        <v>12</v>
      </c>
      <c r="C30" s="19" t="s">
        <v>34</v>
      </c>
      <c r="D30" s="19" t="s">
        <v>35</v>
      </c>
      <c r="E30" s="20">
        <v>600</v>
      </c>
      <c r="F30" s="20">
        <v>42</v>
      </c>
      <c r="G30" s="20">
        <v>62</v>
      </c>
      <c r="H30" s="20">
        <v>16</v>
      </c>
      <c r="I30" t="str">
        <f t="shared" si="0"/>
        <v>Sun|Dinner</v>
      </c>
    </row>
    <row r="31" spans="1:9" x14ac:dyDescent="0.3">
      <c r="A31" s="19" t="s">
        <v>59</v>
      </c>
      <c r="B31" s="19" t="s">
        <v>13</v>
      </c>
      <c r="C31" s="19" t="s">
        <v>36</v>
      </c>
      <c r="D31" s="19" t="s">
        <v>37</v>
      </c>
      <c r="E31" s="20">
        <v>300</v>
      </c>
      <c r="F31" s="20">
        <v>28</v>
      </c>
      <c r="G31" s="20">
        <v>10</v>
      </c>
      <c r="H31" s="20">
        <v>14</v>
      </c>
      <c r="I31" t="str">
        <f t="shared" si="0"/>
        <v>Sun|Snack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D30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4" customWidth="1"/>
    <col min="2" max="3" width="13" customWidth="1"/>
    <col min="4" max="4" width="30" customWidth="1"/>
  </cols>
  <sheetData>
    <row r="1" spans="1:4" ht="19.2" x14ac:dyDescent="0.35">
      <c r="A1" s="37" t="s">
        <v>60</v>
      </c>
      <c r="B1" s="37"/>
      <c r="C1" s="37"/>
      <c r="D1" s="37"/>
    </row>
    <row r="2" spans="1:4" x14ac:dyDescent="0.3">
      <c r="A2" s="38" t="s">
        <v>61</v>
      </c>
      <c r="B2" s="38"/>
      <c r="C2" s="38"/>
      <c r="D2" s="38"/>
    </row>
    <row r="3" spans="1:4" x14ac:dyDescent="0.3">
      <c r="A3" s="18" t="s">
        <v>62</v>
      </c>
      <c r="B3" s="18" t="s">
        <v>63</v>
      </c>
      <c r="C3" s="18" t="s">
        <v>64</v>
      </c>
      <c r="D3" s="18" t="s">
        <v>65</v>
      </c>
    </row>
    <row r="4" spans="1:4" x14ac:dyDescent="0.3">
      <c r="A4" s="23">
        <v>46271</v>
      </c>
      <c r="B4" s="24">
        <v>88.6</v>
      </c>
      <c r="C4" s="20"/>
      <c r="D4" s="25"/>
    </row>
    <row r="5" spans="1:4" x14ac:dyDescent="0.3">
      <c r="A5" s="23">
        <v>46278</v>
      </c>
      <c r="B5" s="24">
        <v>88.2</v>
      </c>
      <c r="C5" s="26">
        <f t="shared" ref="C5:C30" si="0">IF(AND(B5&lt;&gt;"",B4&lt;&gt;""),B5-B4,"")</f>
        <v>-0.39999999999999147</v>
      </c>
      <c r="D5" s="25"/>
    </row>
    <row r="6" spans="1:4" x14ac:dyDescent="0.3">
      <c r="A6" s="23">
        <v>46285</v>
      </c>
      <c r="B6" s="24">
        <v>88.4</v>
      </c>
      <c r="C6" s="26">
        <f t="shared" si="0"/>
        <v>0.20000000000000284</v>
      </c>
      <c r="D6" s="25"/>
    </row>
    <row r="7" spans="1:4" x14ac:dyDescent="0.3">
      <c r="A7" s="23">
        <v>46292</v>
      </c>
      <c r="B7" s="24">
        <v>87.9</v>
      </c>
      <c r="C7" s="26">
        <f t="shared" si="0"/>
        <v>-0.5</v>
      </c>
      <c r="D7" s="25"/>
    </row>
    <row r="8" spans="1:4" x14ac:dyDescent="0.3">
      <c r="A8" s="23">
        <v>46299</v>
      </c>
      <c r="B8" s="24">
        <v>87.6</v>
      </c>
      <c r="C8" s="26">
        <f t="shared" si="0"/>
        <v>-0.30000000000001137</v>
      </c>
      <c r="D8" s="25"/>
    </row>
    <row r="9" spans="1:4" x14ac:dyDescent="0.3">
      <c r="A9" s="23">
        <v>46306</v>
      </c>
      <c r="B9" s="24">
        <v>87.7</v>
      </c>
      <c r="C9" s="26">
        <f t="shared" si="0"/>
        <v>0.10000000000000853</v>
      </c>
      <c r="D9" s="25"/>
    </row>
    <row r="10" spans="1:4" x14ac:dyDescent="0.3">
      <c r="A10" s="23">
        <v>46313</v>
      </c>
      <c r="B10" s="24">
        <v>87.2</v>
      </c>
      <c r="C10" s="26">
        <f t="shared" si="0"/>
        <v>-0.5</v>
      </c>
      <c r="D10" s="25"/>
    </row>
    <row r="11" spans="1:4" x14ac:dyDescent="0.3">
      <c r="A11" s="23">
        <v>46320</v>
      </c>
      <c r="B11" s="24">
        <v>87</v>
      </c>
      <c r="C11" s="26">
        <f t="shared" si="0"/>
        <v>-0.20000000000000284</v>
      </c>
      <c r="D11" s="25"/>
    </row>
    <row r="12" spans="1:4" x14ac:dyDescent="0.3">
      <c r="A12" s="20"/>
      <c r="B12" s="24"/>
      <c r="C12" s="26" t="str">
        <f t="shared" si="0"/>
        <v/>
      </c>
      <c r="D12" s="25"/>
    </row>
    <row r="13" spans="1:4" x14ac:dyDescent="0.3">
      <c r="A13" s="20"/>
      <c r="B13" s="24"/>
      <c r="C13" s="26" t="str">
        <f t="shared" si="0"/>
        <v/>
      </c>
      <c r="D13" s="25"/>
    </row>
    <row r="14" spans="1:4" x14ac:dyDescent="0.3">
      <c r="A14" s="20"/>
      <c r="B14" s="24"/>
      <c r="C14" s="26" t="str">
        <f t="shared" si="0"/>
        <v/>
      </c>
      <c r="D14" s="25"/>
    </row>
    <row r="15" spans="1:4" x14ac:dyDescent="0.3">
      <c r="A15" s="20"/>
      <c r="B15" s="24"/>
      <c r="C15" s="26" t="str">
        <f t="shared" si="0"/>
        <v/>
      </c>
      <c r="D15" s="25"/>
    </row>
    <row r="16" spans="1:4" x14ac:dyDescent="0.3">
      <c r="A16" s="20"/>
      <c r="B16" s="24"/>
      <c r="C16" s="26" t="str">
        <f t="shared" si="0"/>
        <v/>
      </c>
      <c r="D16" s="25"/>
    </row>
    <row r="17" spans="1:4" x14ac:dyDescent="0.3">
      <c r="A17" s="20"/>
      <c r="B17" s="24"/>
      <c r="C17" s="26" t="str">
        <f t="shared" si="0"/>
        <v/>
      </c>
      <c r="D17" s="25"/>
    </row>
    <row r="18" spans="1:4" x14ac:dyDescent="0.3">
      <c r="A18" s="20"/>
      <c r="B18" s="24"/>
      <c r="C18" s="26" t="str">
        <f t="shared" si="0"/>
        <v/>
      </c>
      <c r="D18" s="25"/>
    </row>
    <row r="19" spans="1:4" x14ac:dyDescent="0.3">
      <c r="A19" s="20"/>
      <c r="B19" s="24"/>
      <c r="C19" s="26" t="str">
        <f t="shared" si="0"/>
        <v/>
      </c>
      <c r="D19" s="25"/>
    </row>
    <row r="20" spans="1:4" x14ac:dyDescent="0.3">
      <c r="A20" s="20"/>
      <c r="B20" s="24"/>
      <c r="C20" s="26" t="str">
        <f t="shared" si="0"/>
        <v/>
      </c>
      <c r="D20" s="25"/>
    </row>
    <row r="21" spans="1:4" x14ac:dyDescent="0.3">
      <c r="A21" s="20"/>
      <c r="B21" s="24"/>
      <c r="C21" s="26" t="str">
        <f t="shared" si="0"/>
        <v/>
      </c>
      <c r="D21" s="25"/>
    </row>
    <row r="22" spans="1:4" x14ac:dyDescent="0.3">
      <c r="A22" s="20"/>
      <c r="B22" s="24"/>
      <c r="C22" s="26" t="str">
        <f t="shared" si="0"/>
        <v/>
      </c>
      <c r="D22" s="25"/>
    </row>
    <row r="23" spans="1:4" x14ac:dyDescent="0.3">
      <c r="A23" s="20"/>
      <c r="B23" s="24"/>
      <c r="C23" s="26" t="str">
        <f t="shared" si="0"/>
        <v/>
      </c>
      <c r="D23" s="25"/>
    </row>
    <row r="24" spans="1:4" x14ac:dyDescent="0.3">
      <c r="A24" s="20"/>
      <c r="B24" s="24"/>
      <c r="C24" s="26" t="str">
        <f t="shared" si="0"/>
        <v/>
      </c>
      <c r="D24" s="25"/>
    </row>
    <row r="25" spans="1:4" x14ac:dyDescent="0.3">
      <c r="A25" s="20"/>
      <c r="B25" s="24"/>
      <c r="C25" s="26" t="str">
        <f t="shared" si="0"/>
        <v/>
      </c>
      <c r="D25" s="25"/>
    </row>
    <row r="26" spans="1:4" x14ac:dyDescent="0.3">
      <c r="A26" s="20"/>
      <c r="B26" s="24"/>
      <c r="C26" s="26" t="str">
        <f t="shared" si="0"/>
        <v/>
      </c>
      <c r="D26" s="25"/>
    </row>
    <row r="27" spans="1:4" x14ac:dyDescent="0.3">
      <c r="A27" s="20"/>
      <c r="B27" s="24"/>
      <c r="C27" s="26" t="str">
        <f t="shared" si="0"/>
        <v/>
      </c>
      <c r="D27" s="25"/>
    </row>
    <row r="28" spans="1:4" x14ac:dyDescent="0.3">
      <c r="A28" s="20"/>
      <c r="B28" s="24"/>
      <c r="C28" s="26" t="str">
        <f t="shared" si="0"/>
        <v/>
      </c>
      <c r="D28" s="25"/>
    </row>
    <row r="29" spans="1:4" x14ac:dyDescent="0.3">
      <c r="A29" s="20"/>
      <c r="B29" s="24"/>
      <c r="C29" s="26" t="str">
        <f t="shared" si="0"/>
        <v/>
      </c>
      <c r="D29" s="25"/>
    </row>
    <row r="30" spans="1:4" x14ac:dyDescent="0.3">
      <c r="A30" s="20"/>
      <c r="B30" s="24"/>
      <c r="C30" s="26" t="str">
        <f t="shared" si="0"/>
        <v/>
      </c>
      <c r="D30" s="25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D16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" customWidth="1"/>
    <col min="4" max="4" width="9" customWidth="1"/>
  </cols>
  <sheetData>
    <row r="1" spans="1:4" ht="19.2" x14ac:dyDescent="0.35">
      <c r="A1" s="37" t="s">
        <v>66</v>
      </c>
      <c r="B1" s="37"/>
      <c r="C1" s="37"/>
      <c r="D1" s="37"/>
    </row>
    <row r="2" spans="1:4" x14ac:dyDescent="0.3">
      <c r="A2" s="38" t="s">
        <v>67</v>
      </c>
      <c r="B2" s="38"/>
      <c r="C2" s="38"/>
      <c r="D2" s="38"/>
    </row>
    <row r="3" spans="1:4" x14ac:dyDescent="0.3">
      <c r="A3" s="18" t="s">
        <v>68</v>
      </c>
      <c r="B3" s="18" t="s">
        <v>69</v>
      </c>
      <c r="C3" s="18" t="s">
        <v>70</v>
      </c>
      <c r="D3" s="18" t="s">
        <v>71</v>
      </c>
    </row>
    <row r="4" spans="1:4" x14ac:dyDescent="0.3">
      <c r="A4" s="27" t="s">
        <v>72</v>
      </c>
      <c r="B4" s="19" t="s">
        <v>73</v>
      </c>
      <c r="C4" s="28"/>
      <c r="D4" s="29"/>
    </row>
    <row r="5" spans="1:4" x14ac:dyDescent="0.3">
      <c r="A5" s="27" t="s">
        <v>72</v>
      </c>
      <c r="B5" s="19" t="s">
        <v>74</v>
      </c>
      <c r="C5" s="28"/>
      <c r="D5" s="29"/>
    </row>
    <row r="6" spans="1:4" x14ac:dyDescent="0.3">
      <c r="A6" s="27" t="s">
        <v>72</v>
      </c>
      <c r="B6" s="19" t="s">
        <v>75</v>
      </c>
      <c r="C6" s="28"/>
      <c r="D6" s="29"/>
    </row>
    <row r="7" spans="1:4" x14ac:dyDescent="0.3">
      <c r="A7" s="27" t="s">
        <v>72</v>
      </c>
      <c r="B7" s="19" t="s">
        <v>76</v>
      </c>
      <c r="C7" s="28"/>
      <c r="D7" s="29"/>
    </row>
    <row r="8" spans="1:4" x14ac:dyDescent="0.3">
      <c r="A8" s="27" t="s">
        <v>16</v>
      </c>
      <c r="B8" s="19" t="s">
        <v>77</v>
      </c>
      <c r="C8" s="28"/>
      <c r="D8" s="29"/>
    </row>
    <row r="9" spans="1:4" x14ac:dyDescent="0.3">
      <c r="A9" s="27" t="s">
        <v>16</v>
      </c>
      <c r="B9" s="19" t="s">
        <v>78</v>
      </c>
      <c r="C9" s="28"/>
      <c r="D9" s="29"/>
    </row>
    <row r="10" spans="1:4" x14ac:dyDescent="0.3">
      <c r="A10" s="27" t="s">
        <v>16</v>
      </c>
      <c r="B10" s="19" t="s">
        <v>79</v>
      </c>
      <c r="C10" s="28"/>
      <c r="D10" s="29"/>
    </row>
    <row r="11" spans="1:4" x14ac:dyDescent="0.3">
      <c r="A11" s="27" t="s">
        <v>80</v>
      </c>
      <c r="B11" s="19" t="s">
        <v>81</v>
      </c>
      <c r="C11" s="28"/>
      <c r="D11" s="29"/>
    </row>
    <row r="12" spans="1:4" x14ac:dyDescent="0.3">
      <c r="A12" s="27" t="s">
        <v>80</v>
      </c>
      <c r="B12" s="19" t="s">
        <v>82</v>
      </c>
      <c r="C12" s="28"/>
      <c r="D12" s="29"/>
    </row>
    <row r="13" spans="1:4" x14ac:dyDescent="0.3">
      <c r="A13" s="27" t="s">
        <v>80</v>
      </c>
      <c r="B13" s="19" t="s">
        <v>83</v>
      </c>
      <c r="C13" s="28"/>
      <c r="D13" s="29"/>
    </row>
    <row r="14" spans="1:4" x14ac:dyDescent="0.3">
      <c r="A14" s="27" t="s">
        <v>84</v>
      </c>
      <c r="B14" s="19" t="s">
        <v>85</v>
      </c>
      <c r="C14" s="28"/>
      <c r="D14" s="29"/>
    </row>
    <row r="15" spans="1:4" x14ac:dyDescent="0.3">
      <c r="A15" s="27" t="s">
        <v>84</v>
      </c>
      <c r="B15" s="19" t="s">
        <v>86</v>
      </c>
      <c r="C15" s="28"/>
      <c r="D15" s="29"/>
    </row>
    <row r="16" spans="1:4" x14ac:dyDescent="0.3">
      <c r="A16" s="27" t="s">
        <v>84</v>
      </c>
      <c r="B16" s="19" t="s">
        <v>87</v>
      </c>
      <c r="C16" s="28"/>
      <c r="D16" s="29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Dashboard</vt:lpstr>
      <vt:lpstr>Meal plan</vt:lpstr>
      <vt:lpstr>Weight</vt:lpstr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mounir chtouki</cp:lastModifiedBy>
  <cp:revision>1</cp:revision>
  <dcterms:created xsi:type="dcterms:W3CDTF">2026-10-24T11:05:59Z</dcterms:created>
  <dcterms:modified xsi:type="dcterms:W3CDTF">2026-10-24T11:15:41Z</dcterms:modified>
  <dc:language>en-US</dc:language>
</cp:coreProperties>
</file>