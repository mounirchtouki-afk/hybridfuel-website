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Meal plan" sheetId="2" state="visible" r:id="rId4"/>
    <sheet name="Weight" sheetId="3" state="visible" r:id="rId5"/>
    <sheet name="Shopping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<sst xmlns="http://schemas.openxmlformats.org/spreadsheetml/2006/main" count="180" uniqueCount="88">
  <si>
    <t xml:space="preserve">H</t>
  </si>
  <si>
    <t xml:space="preserve">HYBRIDFUELCO</t>
  </si>
  <si>
    <t xml:space="preserve">PROGRESS TRACKER</t>
  </si>
  <si>
    <t xml:space="preserve">Current weight</t>
  </si>
  <si>
    <t xml:space="preserve">Last change</t>
  </si>
  <si>
    <t xml:space="preserve">Status</t>
  </si>
  <si>
    <t xml:space="preserve">Today</t>
  </si>
  <si>
    <t xml:space="preserve">Weight trend</t>
  </si>
  <si>
    <t xml:space="preserve">Today — meals</t>
  </si>
  <si>
    <t xml:space="preserve">Mon</t>
  </si>
  <si>
    <t xml:space="preserve">Breakfast</t>
  </si>
  <si>
    <t xml:space="preserve">Lunch</t>
  </si>
  <si>
    <t xml:space="preserve">Dinner</t>
  </si>
  <si>
    <t xml:space="preserve">Snack</t>
  </si>
  <si>
    <t xml:space="preserve">Day total</t>
  </si>
  <si>
    <t xml:space="preserve">Daily macros — selected day</t>
  </si>
  <si>
    <t xml:space="preserve">Protein</t>
  </si>
  <si>
    <t xml:space="preserve">Carbs</t>
  </si>
  <si>
    <t xml:space="preserve">Fat</t>
  </si>
  <si>
    <t xml:space="preserve">MEAL PLAN</t>
  </si>
  <si>
    <t xml:space="preserve">Replace this example week with your own plan from the app. The dashboard reads 'Today' from here.</t>
  </si>
  <si>
    <t xml:space="preserve">Day</t>
  </si>
  <si>
    <t xml:space="preserve">Type</t>
  </si>
  <si>
    <t xml:space="preserve">Dish</t>
  </si>
  <si>
    <t xml:space="preserve">Ingredients</t>
  </si>
  <si>
    <t xml:space="preserve">kcal</t>
  </si>
  <si>
    <t xml:space="preserve">Protein (g)</t>
  </si>
  <si>
    <t xml:space="preserve">Carbs (g)</t>
  </si>
  <si>
    <t xml:space="preserve">Fat (g)</t>
  </si>
  <si>
    <t xml:space="preserve">key</t>
  </si>
  <si>
    <t xml:space="preserve">Savoury oats with egg</t>
  </si>
  <si>
    <t xml:space="preserve">60g oats, 2 eggs, 100g spinach</t>
  </si>
  <si>
    <t xml:space="preserve">Chicken &amp; rice bowl</t>
  </si>
  <si>
    <t xml:space="preserve">150g chicken, 70g rice, 150g veg</t>
  </si>
  <si>
    <t xml:space="preserve">Lean mince pasta</t>
  </si>
  <si>
    <t xml:space="preserve">130g mince, 70g pasta, tomato sauce</t>
  </si>
  <si>
    <t xml:space="preserve">Quark with nuts</t>
  </si>
  <si>
    <t xml:space="preserve">200g quark, 20g nuts</t>
  </si>
  <si>
    <t xml:space="preserve">Tue</t>
  </si>
  <si>
    <t xml:space="preserve">Quark with oats &amp; berries</t>
  </si>
  <si>
    <t xml:space="preserve">250g quark, 40g oats, 100g berries</t>
  </si>
  <si>
    <t xml:space="preserve">Tuna wrap</t>
  </si>
  <si>
    <t xml:space="preserve">1 wrap, 100g tuna, 50g corn</t>
  </si>
  <si>
    <t xml:space="preserve">Salmon with quinoa</t>
  </si>
  <si>
    <t xml:space="preserve">125g salmon, 60g quinoa, 100g broccoli</t>
  </si>
  <si>
    <t xml:space="preserve">Protein bar &amp; fruit</t>
  </si>
  <si>
    <t xml:space="preserve">1 bar, 1 apple</t>
  </si>
  <si>
    <t xml:space="preserve">Wed</t>
  </si>
  <si>
    <t xml:space="preserve">High-protein pancakes</t>
  </si>
  <si>
    <t xml:space="preserve">50g oat flour, 30g whey, 1 egg</t>
  </si>
  <si>
    <t xml:space="preserve">Beef &amp; avocado bowl</t>
  </si>
  <si>
    <t xml:space="preserve">150g lean beef, 80g avocado, 80g greens</t>
  </si>
  <si>
    <t xml:space="preserve">Chicken &amp; sweet potato</t>
  </si>
  <si>
    <t xml:space="preserve">160g chicken, 200g sweet potato, 150g veg</t>
  </si>
  <si>
    <t xml:space="preserve">Skyr with honey</t>
  </si>
  <si>
    <t xml:space="preserve">200g skyr, 15g honey</t>
  </si>
  <si>
    <t xml:space="preserve">Thu</t>
  </si>
  <si>
    <t xml:space="preserve">Fri</t>
  </si>
  <si>
    <t xml:space="preserve">Sat</t>
  </si>
  <si>
    <t xml:space="preserve">Sun</t>
  </si>
  <si>
    <t xml:space="preserve">WEIGHT &amp; PROGRESS</t>
  </si>
  <si>
    <t xml:space="preserve">Weigh in once a week at a fixed time. Enter date + weight; the chart and dashboard update automatically.</t>
  </si>
  <si>
    <t xml:space="preserve">Date</t>
  </si>
  <si>
    <t xml:space="preserve">Weight (kg)</t>
  </si>
  <si>
    <t xml:space="preserve">Change (kg)</t>
  </si>
  <si>
    <t xml:space="preserve">Note</t>
  </si>
  <si>
    <t xml:space="preserve">SHOPPING LIST</t>
  </si>
  <si>
    <t xml:space="preserve">Your weekly list, by category. Tick what you already have.</t>
  </si>
  <si>
    <t xml:space="preserve">Category</t>
  </si>
  <si>
    <t xml:space="preserve">Item</t>
  </si>
  <si>
    <t xml:space="preserve">Quantity</t>
  </si>
  <si>
    <t xml:space="preserve">Got it?</t>
  </si>
  <si>
    <t xml:space="preserve">Produce</t>
  </si>
  <si>
    <t xml:space="preserve">Spinach 500g</t>
  </si>
  <si>
    <t xml:space="preserve">Broccoli 400g</t>
  </si>
  <si>
    <t xml:space="preserve">Apples 7</t>
  </si>
  <si>
    <t xml:space="preserve">Berries 300g</t>
  </si>
  <si>
    <t xml:space="preserve">Chicken 1kg</t>
  </si>
  <si>
    <t xml:space="preserve">Lean beef 500g</t>
  </si>
  <si>
    <t xml:space="preserve">Salmon 400g</t>
  </si>
  <si>
    <t xml:space="preserve">Dairy</t>
  </si>
  <si>
    <t xml:space="preserve">Low-fat quark 1kg</t>
  </si>
  <si>
    <t xml:space="preserve">Skyr 500g</t>
  </si>
  <si>
    <t xml:space="preserve">Eggs 12</t>
  </si>
  <si>
    <t xml:space="preserve">Grains</t>
  </si>
  <si>
    <t xml:space="preserve">Oats 500g</t>
  </si>
  <si>
    <t xml:space="preserve">Rice 500g</t>
  </si>
  <si>
    <t xml:space="preserve">Pasta 500g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</si>
</sst>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.0&quot; kg&quot;"/>
    <numFmt numFmtId="167" formatCode="\+0.0&quot; kg&quot;;\-0.0&quot; kg&quot;;0.0&quot; kg&quot;"/>
    <numFmt numFmtId="168" formatCode="#,##0&quot; kcal&quot;"/>
    <numFmt numFmtId="169" formatCode="#,##0"/>
    <numFmt numFmtId="170" formatCode="0&quot; g&quot;"/>
    <numFmt numFmtId="171" formatCode="mm\-dd\-yyyy"/>
    <numFmt numFmtId="172" formatCode="0.0"/>
    <numFmt numFmtId="173" formatCode="\+0.0;\-0.0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rial"/>
      <family val="0"/>
      <charset val="1"/>
    </font>
    <font>
      <b val="true"/>
      <sz val="18"/>
      <color rgb="FF0A0A0A"/>
      <name val="Arial"/>
      <family val="0"/>
      <charset val="1"/>
    </font>
    <font>
      <b val="true"/>
      <sz val="10"/>
      <color rgb="FF8C8C8C"/>
      <name val="Arial"/>
      <family val="0"/>
      <charset val="1"/>
    </font>
    <font>
      <b val="true"/>
      <sz val="9"/>
      <color rgb="FF8C8C8C"/>
      <name val="Arial"/>
      <family val="0"/>
      <charset val="1"/>
    </font>
    <font>
      <b val="true"/>
      <sz val="24"/>
      <color rgb="FF0A0A0A"/>
      <name val="Arial"/>
      <family val="0"/>
      <charset val="1"/>
    </font>
    <font>
      <b val="true"/>
      <sz val="24"/>
      <color rgb="FF1F9D55"/>
      <name val="Arial"/>
      <family val="0"/>
      <charset val="1"/>
    </font>
    <font>
      <b val="true"/>
      <sz val="16"/>
      <color rgb="FF1F9D55"/>
      <name val="Arial"/>
      <family val="0"/>
      <charset val="1"/>
    </font>
    <font>
      <b val="true"/>
      <sz val="11"/>
      <color rgb="FF0A0A0A"/>
      <name val="Arial"/>
      <family val="0"/>
      <charset val="1"/>
    </font>
    <font>
      <b val="true"/>
      <sz val="11"/>
      <color rgb="FFE8321E"/>
      <name val="Arial"/>
      <family val="0"/>
      <charset val="1"/>
    </font>
    <font>
      <b val="true"/>
      <sz val="12"/>
      <color rgb="FFE8321E"/>
      <name val="Arial"/>
      <family val="0"/>
      <charset val="1"/>
    </font>
    <font>
      <b val="true"/>
      <sz val="9"/>
      <color rgb="FFE8321E"/>
      <name val="Arial"/>
      <family val="0"/>
      <charset val="1"/>
    </font>
    <font>
      <sz val="11"/>
      <color rgb="FF0A0A0A"/>
      <name val="Arial"/>
      <family val="0"/>
      <charset val="1"/>
    </font>
    <font>
      <b val="true"/>
      <sz val="13"/>
      <color rgb="FF0A0A0A"/>
      <name val="Arial"/>
      <family val="0"/>
      <charset val="1"/>
    </font>
    <font>
      <sz val="10"/>
      <color rgb="FF444444"/>
      <name val="Arial"/>
      <family val="0"/>
      <charset val="1"/>
    </font>
    <font>
      <sz val="10"/>
      <color rgb="FF000000"/>
      <name val="Calibri"/>
      <family val="2"/>
    </font>
    <font>
      <b val="true"/>
      <sz val="15"/>
      <color rgb="FF0A0A0A"/>
      <name val="Arial"/>
      <family val="0"/>
      <charset val="1"/>
    </font>
    <font>
      <i val="true"/>
      <sz val="9"/>
      <color rgb="FF8C8C8C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A0A0A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8C8C8C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E8321E"/>
        <bgColor rgb="FFFF6600"/>
      </patternFill>
    </fill>
    <fill>
      <patternFill patternType="solid">
        <fgColor rgb="FFFAFAFA"/>
        <bgColor rgb="FFFBFBFB"/>
      </patternFill>
    </fill>
    <fill>
      <patternFill patternType="solid">
        <fgColor rgb="FFFFF0ED"/>
        <bgColor rgb="FFF6F6F6"/>
      </patternFill>
    </fill>
    <fill>
      <patternFill patternType="solid">
        <fgColor rgb="FFFBFBFB"/>
        <bgColor rgb="FFFAFAFA"/>
      </patternFill>
    </fill>
    <fill>
      <patternFill patternType="solid">
        <fgColor rgb="FF0A0A0A"/>
        <bgColor rgb="FF000000"/>
      </patternFill>
    </fill>
    <fill>
      <patternFill patternType="solid">
        <fgColor rgb="FFF6F6F6"/>
        <bgColor rgb="FFFAFAFA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ck">
        <color rgb="FFE8321E"/>
      </left>
      <right style="thin">
        <color rgb="FFE6E6E6"/>
      </right>
      <top style="thin">
        <color rgb="FFE6E6E6"/>
      </top>
      <bottom/>
      <diagonal/>
    </border>
    <border diagonalUp="false" diagonalDown="false">
      <left style="thick">
        <color rgb="FF1F9D55"/>
      </left>
      <right style="thin">
        <color rgb="FFE6E6E6"/>
      </right>
      <top style="thin">
        <color rgb="FFE6E6E6"/>
      </top>
      <bottom/>
      <diagonal/>
    </border>
    <border diagonalUp="false" diagonalDown="false">
      <left style="thick">
        <color rgb="FFE8321E"/>
      </left>
      <right style="thin">
        <color rgb="FFE6E6E6"/>
      </right>
      <top/>
      <bottom style="thin">
        <color rgb="FFE6E6E6"/>
      </bottom>
      <diagonal/>
    </border>
    <border diagonalUp="false" diagonalDown="false">
      <left style="thick">
        <color rgb="FF1F9D55"/>
      </left>
      <right style="thin">
        <color rgb="FFE6E6E6"/>
      </right>
      <top/>
      <bottom style="thin">
        <color rgb="FFE6E6E6"/>
      </bottom>
      <diagonal/>
    </border>
    <border diagonalUp="false" diagonalDown="false">
      <left style="thick">
        <color rgb="FFE8321E"/>
      </left>
      <right/>
      <top style="thin">
        <color rgb="FFE6E6E6"/>
      </top>
      <bottom style="thin">
        <color rgb="FFE6E6E6"/>
      </bottom>
      <diagonal/>
    </border>
    <border diagonalUp="false" diagonalDown="false">
      <left style="thin">
        <color rgb="FFE6E6E6"/>
      </left>
      <right style="thin">
        <color rgb="FFE6E6E6"/>
      </right>
      <top style="thin">
        <color rgb="FFE6E6E6"/>
      </top>
      <bottom style="thin">
        <color rgb="FFE6E6E6"/>
      </bottom>
      <diagonal/>
    </border>
    <border diagonalUp="false" diagonalDown="false">
      <left/>
      <right/>
      <top style="medium">
        <color rgb="FF0A0A0A"/>
      </top>
      <bottom/>
      <diagonal/>
    </border>
    <border diagonalUp="false" diagonalDown="false">
      <left style="thick">
        <color rgb="FF1F9D55"/>
      </left>
      <right style="thin">
        <color rgb="FFE6E6E6"/>
      </right>
      <top style="thin">
        <color rgb="FFE6E6E6"/>
      </top>
      <bottom style="thin">
        <color rgb="FFE6E6E6"/>
      </bottom>
      <diagonal/>
    </border>
    <border diagonalUp="false" diagonalDown="false">
      <left style="thick">
        <color rgb="FFFF6A52"/>
      </left>
      <right style="thin">
        <color rgb="FFE6E6E6"/>
      </right>
      <top style="thin">
        <color rgb="FFE6E6E6"/>
      </top>
      <bottom/>
      <diagonal/>
    </border>
    <border diagonalUp="false" diagonalDown="false">
      <left style="thick">
        <color rgb="FFB9B9B9"/>
      </left>
      <right style="thin">
        <color rgb="FFE6E6E6"/>
      </right>
      <top style="thin">
        <color rgb="FFE6E6E6"/>
      </top>
      <bottom/>
      <diagonal/>
    </border>
    <border diagonalUp="false" diagonalDown="false">
      <left style="thick">
        <color rgb="FFFF6A52"/>
      </left>
      <right style="thin">
        <color rgb="FFE6E6E6"/>
      </right>
      <top/>
      <bottom style="thin">
        <color rgb="FFE6E6E6"/>
      </bottom>
      <diagonal/>
    </border>
    <border diagonalUp="false" diagonalDown="false">
      <left style="thick">
        <color rgb="FFB9B9B9"/>
      </left>
      <right style="thin">
        <color rgb="FFE6E6E6"/>
      </right>
      <top/>
      <bottom style="thin">
        <color rgb="FFE6E6E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8" fillId="3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9" fillId="3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8" fillId="3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11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16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5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3" borderId="9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3" borderId="1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0" fontId="5" fillId="3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0" fontId="5" fillId="3" borderId="1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0" fontId="5" fillId="3" borderId="1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7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2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23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22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E8321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9B9B9"/>
      <rgbColor rgb="FF878787"/>
      <rgbColor rgb="FF9999FF"/>
      <rgbColor rgb="FF993366"/>
      <rgbColor rgb="FFFFF0ED"/>
      <rgbColor rgb="FFF6F6F6"/>
      <rgbColor rgb="FF660066"/>
      <rgbColor rgb="FFFF6A52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E6E6"/>
      <rgbColor rgb="FFFAFAFA"/>
      <rgbColor rgb="FFFBFBF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1F9D55"/>
      <rgbColor rgb="FF0A0A0A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Weight!B3</c:f>
              <c:strCache>
                <c:ptCount val="1"/>
                <c:pt idx="0">
                  <c:v>Weight (kg)</c:v>
                </c:pt>
              </c:strCache>
            </c:strRef>
          </c:tx>
          <c:spPr>
            <a:solidFill>
              <a:srgbClr val="e8321e"/>
            </a:solidFill>
            <a:ln w="28080">
              <a:solidFill>
                <a:srgbClr val="e8321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Weight!$A$4:$A$30</c:f>
              <c:strCache>
                <c:ptCount val="27"/>
                <c:pt idx="0">
                  <c:v>09-06-2026</c:v>
                </c:pt>
                <c:pt idx="1">
                  <c:v>09-13-2026</c:v>
                </c:pt>
                <c:pt idx="2">
                  <c:v>09-20-2026</c:v>
                </c:pt>
                <c:pt idx="3">
                  <c:v>09-27-2026</c:v>
                </c:pt>
                <c:pt idx="4">
                  <c:v>10-04-2026</c:v>
                </c:pt>
                <c:pt idx="5">
                  <c:v>10-11-2026</c:v>
                </c:pt>
                <c:pt idx="6">
                  <c:v>10-18-2026</c:v>
                </c:pt>
                <c:pt idx="7">
                  <c:v>10-25-2026</c:v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</c:strCache>
            </c:strRef>
          </c:cat>
          <c:val>
            <c:numRef>
              <c:f>Weight!$B$4:$B$30</c:f>
              <c:numCache>
                <c:formatCode>0.0</c:formatCode>
                <c:ptCount val="27"/>
                <c:pt idx="0">
                  <c:v>88.6</c:v>
                </c:pt>
                <c:pt idx="1">
                  <c:v>88.2</c:v>
                </c:pt>
                <c:pt idx="2">
                  <c:v>88.4</c:v>
                </c:pt>
                <c:pt idx="3">
                  <c:v>87.9</c:v>
                </c:pt>
                <c:pt idx="4">
                  <c:v>87.6</c:v>
                </c:pt>
                <c:pt idx="5">
                  <c:v>87.7</c:v>
                </c:pt>
                <c:pt idx="6">
                  <c:v>87.2</c:v>
                </c:pt>
                <c:pt idx="7">
                  <c:v>87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3125726"/>
        <c:axId val="36317127"/>
      </c:lineChart>
      <c:catAx>
        <c:axId val="63125726"/>
        <c:scaling>
          <c:orientation val="minMax"/>
        </c:scaling>
        <c:delete val="0"/>
        <c:axPos val="b"/>
        <c:numFmt formatCode="mm\-dd\-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317127"/>
        <c:crosses val="autoZero"/>
        <c:auto val="1"/>
        <c:lblAlgn val="ctr"/>
        <c:lblOffset val="100"/>
        <c:noMultiLvlLbl val="0"/>
      </c:catAx>
      <c:valAx>
        <c:axId val="36317127"/>
        <c:scaling>
          <c:orientation val="minMax"/>
        </c:scaling>
        <c:delete val="0"/>
        <c:axPos val="l"/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12572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8</xdr:row>
      <xdr:rowOff>0</xdr:rowOff>
    </xdr:from>
    <xdr:to>
      <xdr:col>6</xdr:col>
      <xdr:colOff>78120</xdr:colOff>
      <xdr:row>14</xdr:row>
      <xdr:rowOff>97920</xdr:rowOff>
    </xdr:to>
    <xdr:graphicFrame>
      <xdr:nvGraphicFramePr>
        <xdr:cNvPr id="0" name="Chart 1"/>
        <xdr:cNvGraphicFramePr/>
      </xdr:nvGraphicFramePr>
      <xdr:xfrm>
        <a:off x="0" y="1743120"/>
        <a:ext cx="4139640" cy="190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321E"/>
    <pageSetUpPr fitToPage="false"/>
  </sheetPr>
  <dimension ref="A1:N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2" min="1" style="0" width="9.6"/>
    <col collapsed="false" customWidth="true" hidden="true" outlineLevel="0" max="14" min="14" style="0" width="13"/>
  </cols>
  <sheetData>
    <row r="1" customFormat="false" ht="21.75" hidden="false" customHeight="true" outlineLevel="0" collapsed="false">
      <c r="A1" s="1" t="s">
        <v>0</v>
      </c>
      <c r="B1" s="2" t="s">
        <v>1</v>
      </c>
      <c r="C1" s="2"/>
      <c r="D1" s="2"/>
      <c r="E1" s="2"/>
      <c r="F1" s="2"/>
      <c r="I1" s="3" t="s">
        <v>2</v>
      </c>
      <c r="J1" s="3"/>
      <c r="K1" s="3"/>
      <c r="L1" s="3"/>
      <c r="N1" s="4" t="n">
        <f aca="false">IFERROR(LOOKUP(2,1/(Weight!$B$4:$B$30&lt;&gt;""),Weight!$B$4:$B$30),"")</f>
        <v>87</v>
      </c>
    </row>
    <row r="2" customFormat="false" ht="19.5" hidden="false" customHeight="true" outlineLevel="0" collapsed="false">
      <c r="A2" s="1"/>
      <c r="B2" s="1"/>
      <c r="C2" s="2"/>
      <c r="D2" s="2"/>
      <c r="E2" s="2"/>
      <c r="F2" s="2"/>
      <c r="I2" s="3"/>
      <c r="J2" s="3"/>
      <c r="K2" s="3"/>
      <c r="L2" s="3"/>
      <c r="N2" s="4" t="n">
        <f aca="false">IFERROR(LOOKUP(2,1/(Weight!$C$4:$C$30&lt;&gt;""),Weight!$C$4:$C$30),"")</f>
        <v>-0.200000000000003</v>
      </c>
    </row>
    <row r="3" customFormat="false" ht="15" hidden="false" customHeight="false" outlineLevel="0" collapsed="false">
      <c r="N3" s="0" t="n">
        <f aca="false">IF(AND(N1&lt;&gt;"",N2&lt;&gt;""),N2/N1,"")</f>
        <v>-0.00229885057471268</v>
      </c>
    </row>
    <row r="4" customFormat="false" ht="19.5" hidden="false" customHeight="true" outlineLevel="0" collapsed="false">
      <c r="A4" s="5" t="s">
        <v>3</v>
      </c>
      <c r="B4" s="5"/>
      <c r="C4" s="5"/>
      <c r="D4" s="6" t="s">
        <v>4</v>
      </c>
      <c r="E4" s="6"/>
      <c r="F4" s="6"/>
      <c r="G4" s="6" t="s">
        <v>5</v>
      </c>
      <c r="H4" s="6"/>
      <c r="I4" s="6"/>
      <c r="J4" s="5" t="s">
        <v>6</v>
      </c>
      <c r="K4" s="5"/>
      <c r="L4" s="5"/>
    </row>
    <row r="5" customFormat="false" ht="19.5" hidden="false" customHeight="true" outlineLevel="0" collapsed="false">
      <c r="A5" s="7" t="n">
        <f aca="false">N1</f>
        <v>87</v>
      </c>
      <c r="B5" s="7"/>
      <c r="C5" s="7"/>
      <c r="D5" s="8" t="n">
        <f aca="false">N2</f>
        <v>-0.200000000000003</v>
      </c>
      <c r="E5" s="8"/>
      <c r="F5" s="8"/>
      <c r="G5" s="9" t="str">
        <f aca="false">IF(N3="","",IF(N3&lt;-0.01,"! Too fast",IF(N3&lt;-0.003,"✓ On track",IF(N3&lt;=0.003,"– Stable",IF(N3&lt;=0.01,"✓ On track","! Too fast")))))</f>
        <v>– Stable</v>
      </c>
      <c r="H5" s="9"/>
      <c r="I5" s="9"/>
      <c r="J5" s="10" t="n">
        <f aca="false">SUMIFS('Meal plan'!$E$4:$E$31,'Meal plan'!$A$4:$A$31,$K$8)</f>
        <v>2220</v>
      </c>
      <c r="K5" s="10"/>
      <c r="L5" s="10"/>
    </row>
    <row r="6" customFormat="false" ht="19.5" hidden="false" customHeight="true" outlineLevel="0" collapsed="false">
      <c r="A6" s="7"/>
      <c r="B6" s="7"/>
      <c r="C6" s="7"/>
      <c r="D6" s="8"/>
      <c r="E6" s="8"/>
      <c r="F6" s="8"/>
      <c r="G6" s="9"/>
      <c r="H6" s="9"/>
      <c r="I6" s="9"/>
      <c r="J6" s="10"/>
      <c r="K6" s="10"/>
      <c r="L6" s="10"/>
    </row>
    <row r="7" customFormat="false" ht="7.5" hidden="false" customHeight="true" outlineLevel="0" collapsed="false"/>
    <row r="8" customFormat="false" ht="15" hidden="false" customHeight="false" outlineLevel="0" collapsed="false">
      <c r="A8" s="11" t="s">
        <v>7</v>
      </c>
      <c r="B8" s="11"/>
      <c r="C8" s="11"/>
      <c r="D8" s="11"/>
      <c r="E8" s="11"/>
      <c r="F8" s="11"/>
      <c r="G8" s="12" t="s">
        <v>8</v>
      </c>
      <c r="H8" s="12"/>
      <c r="I8" s="12"/>
      <c r="J8" s="12"/>
      <c r="K8" s="13" t="s">
        <v>9</v>
      </c>
      <c r="L8" s="13"/>
    </row>
    <row r="9" customFormat="false" ht="27.75" hidden="false" customHeight="true" outlineLevel="0" collapsed="false">
      <c r="G9" s="14"/>
      <c r="H9" s="15" t="s">
        <v>10</v>
      </c>
      <c r="I9" s="16" t="str">
        <f aca="false">IFERROR(INDEX('Meal plan'!$C$4:$C$31,MATCH($K$8&amp;"|"&amp;"Breakfast",'Meal plan'!$I$4:$I$31,0)),"")</f>
        <v>Savoury oats with egg</v>
      </c>
      <c r="J9" s="16"/>
      <c r="K9" s="16"/>
      <c r="L9" s="17" t="n">
        <f aca="false">IFERROR(INDEX('Meal plan'!$E$4:$E$31,MATCH($K$8&amp;"|"&amp;"Breakfast",'Meal plan'!$I$4:$I$31,0)),"")</f>
        <v>640</v>
      </c>
    </row>
    <row r="10" customFormat="false" ht="27.75" hidden="false" customHeight="true" outlineLevel="0" collapsed="false">
      <c r="G10" s="14"/>
      <c r="H10" s="15" t="s">
        <v>11</v>
      </c>
      <c r="I10" s="16" t="str">
        <f aca="false">IFERROR(INDEX('Meal plan'!$C$4:$C$31,MATCH($K$8&amp;"|"&amp;"Lunch",'Meal plan'!$I$4:$I$31,0)),"")</f>
        <v>Chicken &amp; rice bowl</v>
      </c>
      <c r="J10" s="16"/>
      <c r="K10" s="16"/>
      <c r="L10" s="17" t="n">
        <f aca="false">IFERROR(INDEX('Meal plan'!$E$4:$E$31,MATCH($K$8&amp;"|"&amp;"Lunch",'Meal plan'!$I$4:$I$31,0)),"")</f>
        <v>560</v>
      </c>
    </row>
    <row r="11" customFormat="false" ht="27.75" hidden="false" customHeight="true" outlineLevel="0" collapsed="false">
      <c r="G11" s="14"/>
      <c r="H11" s="15" t="s">
        <v>12</v>
      </c>
      <c r="I11" s="16" t="str">
        <f aca="false">IFERROR(INDEX('Meal plan'!$C$4:$C$31,MATCH($K$8&amp;"|"&amp;"Dinner",'Meal plan'!$I$4:$I$31,0)),"")</f>
        <v>Lean mince pasta</v>
      </c>
      <c r="J11" s="16"/>
      <c r="K11" s="16"/>
      <c r="L11" s="17" t="n">
        <f aca="false">IFERROR(INDEX('Meal plan'!$E$4:$E$31,MATCH($K$8&amp;"|"&amp;"Dinner",'Meal plan'!$I$4:$I$31,0)),"")</f>
        <v>720</v>
      </c>
    </row>
    <row r="12" customFormat="false" ht="27.75" hidden="false" customHeight="true" outlineLevel="0" collapsed="false">
      <c r="G12" s="14"/>
      <c r="H12" s="15" t="s">
        <v>13</v>
      </c>
      <c r="I12" s="16" t="str">
        <f aca="false">IFERROR(INDEX('Meal plan'!$C$4:$C$31,MATCH($K$8&amp;"|"&amp;"Snack",'Meal plan'!$I$4:$I$31,0)),"")</f>
        <v>Quark with nuts</v>
      </c>
      <c r="J12" s="16"/>
      <c r="K12" s="16"/>
      <c r="L12" s="17" t="n">
        <f aca="false">IFERROR(INDEX('Meal plan'!$E$4:$E$31,MATCH($K$8&amp;"|"&amp;"Snack",'Meal plan'!$I$4:$I$31,0)),"")</f>
        <v>300</v>
      </c>
    </row>
    <row r="13" customFormat="false" ht="21.75" hidden="false" customHeight="true" outlineLevel="0" collapsed="false">
      <c r="G13" s="18" t="s">
        <v>14</v>
      </c>
      <c r="H13" s="18"/>
      <c r="I13" s="18"/>
      <c r="J13" s="19" t="n">
        <f aca="false">SUMIFS('Meal plan'!$E$4:$E$31,'Meal plan'!$A$4:$A$31,$K$8)</f>
        <v>2220</v>
      </c>
      <c r="K13" s="19"/>
      <c r="L13" s="19"/>
    </row>
    <row r="14" customFormat="false" ht="9.75" hidden="false" customHeight="true" outlineLevel="0" collapsed="false"/>
    <row r="15" customFormat="false" ht="9.75" hidden="false" customHeight="true" outlineLevel="0" collapsed="false"/>
    <row r="16" customFormat="false" ht="30" hidden="false" customHeight="true" outlineLevel="0" collapsed="false">
      <c r="A16" s="20" t="str">
        <f aca="false">IF(N3="","Responsible pace — ~0.5–1% per week. This protects muscle and recovery.",IF(OR(N3&lt;-0.01,N3&gt;0.01),"You're changing faster than 1% per week. Adjust your calories a bit.",IF(N3&gt;-0.003,"Little change. Be patient, or adjust your calories slightly.","Responsible pace — ~0.5–1% per week. This protects muscle and recovery.")))</f>
        <v>Little change. Be patient, or adjust your calories slightly.</v>
      </c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</row>
    <row r="17" customFormat="false" ht="7.5" hidden="false" customHeight="true" outlineLevel="0" collapsed="false"/>
    <row r="18" customFormat="false" ht="15" hidden="false" customHeight="false" outlineLevel="0" collapsed="false">
      <c r="A18" s="11" t="s">
        <v>15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</row>
    <row r="19" customFormat="false" ht="18" hidden="false" customHeight="true" outlineLevel="0" collapsed="false">
      <c r="A19" s="5" t="s">
        <v>16</v>
      </c>
      <c r="B19" s="5"/>
      <c r="C19" s="5"/>
      <c r="D19" s="5"/>
      <c r="E19" s="21" t="s">
        <v>17</v>
      </c>
      <c r="F19" s="21"/>
      <c r="G19" s="21"/>
      <c r="H19" s="21"/>
      <c r="I19" s="22" t="s">
        <v>18</v>
      </c>
      <c r="J19" s="22"/>
      <c r="K19" s="22"/>
      <c r="L19" s="22"/>
    </row>
    <row r="20" customFormat="false" ht="25.5" hidden="false" customHeight="true" outlineLevel="0" collapsed="false">
      <c r="A20" s="23" t="n">
        <f aca="false">SUMIFS('Meal plan'!$F$4:$F$31,'Meal plan'!$A$4:$A$31,$K$8)</f>
        <v>148</v>
      </c>
      <c r="B20" s="23"/>
      <c r="C20" s="23"/>
      <c r="D20" s="23"/>
      <c r="E20" s="24" t="n">
        <f aca="false">SUMIFS('Meal plan'!$G$4:$G$31,'Meal plan'!$A$4:$A$31,$K$8)</f>
        <v>239</v>
      </c>
      <c r="F20" s="24"/>
      <c r="G20" s="24"/>
      <c r="H20" s="24"/>
      <c r="I20" s="25" t="n">
        <f aca="false">SUMIFS('Meal plan'!$H$4:$H$31,'Meal plan'!$A$4:$A$31,$K$8)</f>
        <v>60</v>
      </c>
      <c r="J20" s="25"/>
      <c r="K20" s="25"/>
      <c r="L20" s="25"/>
    </row>
  </sheetData>
  <mergeCells count="28">
    <mergeCell ref="A1:A2"/>
    <mergeCell ref="B1:F2"/>
    <mergeCell ref="I1:L2"/>
    <mergeCell ref="A4:C4"/>
    <mergeCell ref="D4:F4"/>
    <mergeCell ref="G4:I4"/>
    <mergeCell ref="J4:L4"/>
    <mergeCell ref="A5:C6"/>
    <mergeCell ref="D5:F6"/>
    <mergeCell ref="G5:I6"/>
    <mergeCell ref="J5:L6"/>
    <mergeCell ref="A8:F8"/>
    <mergeCell ref="G8:J8"/>
    <mergeCell ref="K8:L8"/>
    <mergeCell ref="I9:K9"/>
    <mergeCell ref="I10:K10"/>
    <mergeCell ref="I11:K11"/>
    <mergeCell ref="I12:K12"/>
    <mergeCell ref="G13:I13"/>
    <mergeCell ref="J13:L13"/>
    <mergeCell ref="A16:L16"/>
    <mergeCell ref="A18:L18"/>
    <mergeCell ref="A19:D19"/>
    <mergeCell ref="E19:H19"/>
    <mergeCell ref="I19:L19"/>
    <mergeCell ref="A20:D20"/>
    <mergeCell ref="E20:H20"/>
    <mergeCell ref="I20:L20"/>
  </mergeCells>
  <dataValidations count="2">
    <dataValidation allowBlank="false" errorStyle="stop" operator="between" showDropDown="false" showErrorMessage="false" showInputMessage="false" sqref="K8" type="list">
      <formula1>"Mon,Tue,Wed,Thu,Fri,Sat,Sun"</formula1>
      <formula2>0</formula2>
    </dataValidation>
    <dataValidation allowBlank="true" errorStyle="stop" operator="between" showDropDown="false" showErrorMessage="false" showInputMessage="false" sqref="G9:G12" type="list">
      <formula1>"✓,—"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9D9"/>
    <pageSetUpPr fitToPage="fals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4" min="4" style="0" width="40"/>
    <col collapsed="false" customWidth="true" hidden="false" outlineLevel="0" max="5" min="5" style="0" width="7"/>
    <col collapsed="false" customWidth="true" hidden="false" outlineLevel="0" max="7" min="6" style="0" width="9"/>
    <col collapsed="false" customWidth="true" hidden="false" outlineLevel="0" max="8" min="8" style="0" width="8"/>
    <col collapsed="false" customWidth="true" hidden="true" outlineLevel="0" max="9" min="9" style="0" width="14"/>
  </cols>
  <sheetData>
    <row r="1" customFormat="false" ht="18.55" hidden="false" customHeight="false" outlineLevel="0" collapsed="false">
      <c r="A1" s="26" t="s">
        <v>19</v>
      </c>
      <c r="B1" s="26"/>
      <c r="C1" s="26"/>
      <c r="D1" s="26"/>
      <c r="E1" s="26"/>
      <c r="F1" s="26"/>
      <c r="G1" s="26"/>
      <c r="H1" s="26"/>
    </row>
    <row r="2" customFormat="false" ht="15" hidden="false" customHeight="false" outlineLevel="0" collapsed="false">
      <c r="A2" s="27" t="s">
        <v>20</v>
      </c>
      <c r="B2" s="27"/>
      <c r="C2" s="27"/>
      <c r="D2" s="27"/>
      <c r="E2" s="27"/>
      <c r="F2" s="27"/>
      <c r="G2" s="27"/>
      <c r="H2" s="27"/>
    </row>
    <row r="3" customFormat="false" ht="15" hidden="false" customHeight="false" outlineLevel="0" collapsed="false">
      <c r="A3" s="28" t="s">
        <v>21</v>
      </c>
      <c r="B3" s="28" t="s">
        <v>22</v>
      </c>
      <c r="C3" s="28" t="s">
        <v>23</v>
      </c>
      <c r="D3" s="28" t="s">
        <v>24</v>
      </c>
      <c r="E3" s="28" t="s">
        <v>25</v>
      </c>
      <c r="F3" s="28" t="s">
        <v>26</v>
      </c>
      <c r="G3" s="28" t="s">
        <v>27</v>
      </c>
      <c r="H3" s="28" t="s">
        <v>28</v>
      </c>
      <c r="I3" s="4" t="s">
        <v>29</v>
      </c>
    </row>
    <row r="4" customFormat="false" ht="15" hidden="false" customHeight="false" outlineLevel="0" collapsed="false">
      <c r="A4" s="29" t="s">
        <v>9</v>
      </c>
      <c r="B4" s="29" t="s">
        <v>10</v>
      </c>
      <c r="C4" s="29" t="s">
        <v>30</v>
      </c>
      <c r="D4" s="29" t="s">
        <v>31</v>
      </c>
      <c r="E4" s="30" t="n">
        <v>640</v>
      </c>
      <c r="F4" s="30" t="n">
        <v>30</v>
      </c>
      <c r="G4" s="30" t="n">
        <v>82</v>
      </c>
      <c r="H4" s="30" t="n">
        <v>18</v>
      </c>
      <c r="I4" s="0" t="str">
        <f aca="false">$A4&amp;"|"&amp;$B4</f>
        <v>Mon|Breakfast</v>
      </c>
    </row>
    <row r="5" customFormat="false" ht="15" hidden="false" customHeight="false" outlineLevel="0" collapsed="false">
      <c r="A5" s="29" t="s">
        <v>9</v>
      </c>
      <c r="B5" s="29" t="s">
        <v>11</v>
      </c>
      <c r="C5" s="29" t="s">
        <v>32</v>
      </c>
      <c r="D5" s="29" t="s">
        <v>33</v>
      </c>
      <c r="E5" s="30" t="n">
        <v>560</v>
      </c>
      <c r="F5" s="30" t="n">
        <v>48</v>
      </c>
      <c r="G5" s="30" t="n">
        <v>55</v>
      </c>
      <c r="H5" s="30" t="n">
        <v>12</v>
      </c>
      <c r="I5" s="0" t="str">
        <f aca="false">$A5&amp;"|"&amp;$B5</f>
        <v>Mon|Lunch</v>
      </c>
    </row>
    <row r="6" customFormat="false" ht="15" hidden="false" customHeight="false" outlineLevel="0" collapsed="false">
      <c r="A6" s="29" t="s">
        <v>9</v>
      </c>
      <c r="B6" s="29" t="s">
        <v>12</v>
      </c>
      <c r="C6" s="29" t="s">
        <v>34</v>
      </c>
      <c r="D6" s="29" t="s">
        <v>35</v>
      </c>
      <c r="E6" s="30" t="n">
        <v>720</v>
      </c>
      <c r="F6" s="30" t="n">
        <v>42</v>
      </c>
      <c r="G6" s="30" t="n">
        <v>92</v>
      </c>
      <c r="H6" s="30" t="n">
        <v>16</v>
      </c>
      <c r="I6" s="0" t="str">
        <f aca="false">$A6&amp;"|"&amp;$B6</f>
        <v>Mon|Dinner</v>
      </c>
    </row>
    <row r="7" customFormat="false" ht="15" hidden="false" customHeight="false" outlineLevel="0" collapsed="false">
      <c r="A7" s="29" t="s">
        <v>9</v>
      </c>
      <c r="B7" s="29" t="s">
        <v>13</v>
      </c>
      <c r="C7" s="29" t="s">
        <v>36</v>
      </c>
      <c r="D7" s="29" t="s">
        <v>37</v>
      </c>
      <c r="E7" s="30" t="n">
        <v>300</v>
      </c>
      <c r="F7" s="30" t="n">
        <v>28</v>
      </c>
      <c r="G7" s="30" t="n">
        <v>10</v>
      </c>
      <c r="H7" s="30" t="n">
        <v>14</v>
      </c>
      <c r="I7" s="0" t="str">
        <f aca="false">$A7&amp;"|"&amp;$B7</f>
        <v>Mon|Snack</v>
      </c>
    </row>
    <row r="8" customFormat="false" ht="15" hidden="false" customHeight="false" outlineLevel="0" collapsed="false">
      <c r="A8" s="31" t="s">
        <v>38</v>
      </c>
      <c r="B8" s="31" t="s">
        <v>10</v>
      </c>
      <c r="C8" s="31" t="s">
        <v>39</v>
      </c>
      <c r="D8" s="31" t="s">
        <v>40</v>
      </c>
      <c r="E8" s="32" t="n">
        <v>430</v>
      </c>
      <c r="F8" s="32" t="n">
        <v>42</v>
      </c>
      <c r="G8" s="32" t="n">
        <v>45</v>
      </c>
      <c r="H8" s="32" t="n">
        <v>6</v>
      </c>
      <c r="I8" s="0" t="str">
        <f aca="false">$A8&amp;"|"&amp;$B8</f>
        <v>Tue|Breakfast</v>
      </c>
    </row>
    <row r="9" customFormat="false" ht="15" hidden="false" customHeight="false" outlineLevel="0" collapsed="false">
      <c r="A9" s="31" t="s">
        <v>38</v>
      </c>
      <c r="B9" s="31" t="s">
        <v>11</v>
      </c>
      <c r="C9" s="31" t="s">
        <v>41</v>
      </c>
      <c r="D9" s="31" t="s">
        <v>42</v>
      </c>
      <c r="E9" s="32" t="n">
        <v>470</v>
      </c>
      <c r="F9" s="32" t="n">
        <v>38</v>
      </c>
      <c r="G9" s="32" t="n">
        <v>48</v>
      </c>
      <c r="H9" s="32" t="n">
        <v>10</v>
      </c>
      <c r="I9" s="0" t="str">
        <f aca="false">$A9&amp;"|"&amp;$B9</f>
        <v>Tue|Lunch</v>
      </c>
    </row>
    <row r="10" customFormat="false" ht="15" hidden="false" customHeight="false" outlineLevel="0" collapsed="false">
      <c r="A10" s="31" t="s">
        <v>38</v>
      </c>
      <c r="B10" s="31" t="s">
        <v>12</v>
      </c>
      <c r="C10" s="31" t="s">
        <v>43</v>
      </c>
      <c r="D10" s="31" t="s">
        <v>44</v>
      </c>
      <c r="E10" s="32" t="n">
        <v>640</v>
      </c>
      <c r="F10" s="32" t="n">
        <v>40</v>
      </c>
      <c r="G10" s="32" t="n">
        <v>45</v>
      </c>
      <c r="H10" s="32" t="n">
        <v>26</v>
      </c>
      <c r="I10" s="0" t="str">
        <f aca="false">$A10&amp;"|"&amp;$B10</f>
        <v>Tue|Dinner</v>
      </c>
    </row>
    <row r="11" customFormat="false" ht="15" hidden="false" customHeight="false" outlineLevel="0" collapsed="false">
      <c r="A11" s="31" t="s">
        <v>38</v>
      </c>
      <c r="B11" s="31" t="s">
        <v>13</v>
      </c>
      <c r="C11" s="31" t="s">
        <v>45</v>
      </c>
      <c r="D11" s="31" t="s">
        <v>46</v>
      </c>
      <c r="E11" s="32" t="n">
        <v>280</v>
      </c>
      <c r="F11" s="32" t="n">
        <v>20</v>
      </c>
      <c r="G11" s="32" t="n">
        <v>32</v>
      </c>
      <c r="H11" s="32" t="n">
        <v>7</v>
      </c>
      <c r="I11" s="0" t="str">
        <f aca="false">$A11&amp;"|"&amp;$B11</f>
        <v>Tue|Snack</v>
      </c>
    </row>
    <row r="12" customFormat="false" ht="15" hidden="false" customHeight="false" outlineLevel="0" collapsed="false">
      <c r="A12" s="29" t="s">
        <v>47</v>
      </c>
      <c r="B12" s="29" t="s">
        <v>10</v>
      </c>
      <c r="C12" s="29" t="s">
        <v>48</v>
      </c>
      <c r="D12" s="29" t="s">
        <v>49</v>
      </c>
      <c r="E12" s="30" t="n">
        <v>600</v>
      </c>
      <c r="F12" s="30" t="n">
        <v>38</v>
      </c>
      <c r="G12" s="30" t="n">
        <v>76</v>
      </c>
      <c r="H12" s="30" t="n">
        <v>10</v>
      </c>
      <c r="I12" s="0" t="str">
        <f aca="false">$A12&amp;"|"&amp;$B12</f>
        <v>Wed|Breakfast</v>
      </c>
    </row>
    <row r="13" customFormat="false" ht="15" hidden="false" customHeight="false" outlineLevel="0" collapsed="false">
      <c r="A13" s="29" t="s">
        <v>47</v>
      </c>
      <c r="B13" s="29" t="s">
        <v>11</v>
      </c>
      <c r="C13" s="29" t="s">
        <v>50</v>
      </c>
      <c r="D13" s="29" t="s">
        <v>51</v>
      </c>
      <c r="E13" s="30" t="n">
        <v>600</v>
      </c>
      <c r="F13" s="30" t="n">
        <v>45</v>
      </c>
      <c r="G13" s="30" t="n">
        <v>22</v>
      </c>
      <c r="H13" s="30" t="n">
        <v>30</v>
      </c>
      <c r="I13" s="0" t="str">
        <f aca="false">$A13&amp;"|"&amp;$B13</f>
        <v>Wed|Lunch</v>
      </c>
    </row>
    <row r="14" customFormat="false" ht="15" hidden="false" customHeight="false" outlineLevel="0" collapsed="false">
      <c r="A14" s="29" t="s">
        <v>47</v>
      </c>
      <c r="B14" s="29" t="s">
        <v>12</v>
      </c>
      <c r="C14" s="29" t="s">
        <v>52</v>
      </c>
      <c r="D14" s="29" t="s">
        <v>53</v>
      </c>
      <c r="E14" s="30" t="n">
        <v>740</v>
      </c>
      <c r="F14" s="30" t="n">
        <v>50</v>
      </c>
      <c r="G14" s="30" t="n">
        <v>88</v>
      </c>
      <c r="H14" s="30" t="n">
        <v>14</v>
      </c>
      <c r="I14" s="0" t="str">
        <f aca="false">$A14&amp;"|"&amp;$B14</f>
        <v>Wed|Dinner</v>
      </c>
    </row>
    <row r="15" customFormat="false" ht="15" hidden="false" customHeight="false" outlineLevel="0" collapsed="false">
      <c r="A15" s="29" t="s">
        <v>47</v>
      </c>
      <c r="B15" s="29" t="s">
        <v>13</v>
      </c>
      <c r="C15" s="29" t="s">
        <v>54</v>
      </c>
      <c r="D15" s="29" t="s">
        <v>55</v>
      </c>
      <c r="E15" s="30" t="n">
        <v>240</v>
      </c>
      <c r="F15" s="30" t="n">
        <v>22</v>
      </c>
      <c r="G15" s="30" t="n">
        <v>24</v>
      </c>
      <c r="H15" s="30" t="n">
        <v>2</v>
      </c>
      <c r="I15" s="0" t="str">
        <f aca="false">$A15&amp;"|"&amp;$B15</f>
        <v>Wed|Snack</v>
      </c>
    </row>
    <row r="16" customFormat="false" ht="15" hidden="false" customHeight="false" outlineLevel="0" collapsed="false">
      <c r="A16" s="31" t="s">
        <v>56</v>
      </c>
      <c r="B16" s="31" t="s">
        <v>10</v>
      </c>
      <c r="C16" s="31" t="s">
        <v>30</v>
      </c>
      <c r="D16" s="31" t="s">
        <v>31</v>
      </c>
      <c r="E16" s="32" t="n">
        <v>520</v>
      </c>
      <c r="F16" s="32" t="n">
        <v>30</v>
      </c>
      <c r="G16" s="32" t="n">
        <v>52</v>
      </c>
      <c r="H16" s="32" t="n">
        <v>18</v>
      </c>
      <c r="I16" s="0" t="str">
        <f aca="false">$A16&amp;"|"&amp;$B16</f>
        <v>Thu|Breakfast</v>
      </c>
    </row>
    <row r="17" customFormat="false" ht="15" hidden="false" customHeight="false" outlineLevel="0" collapsed="false">
      <c r="A17" s="31" t="s">
        <v>56</v>
      </c>
      <c r="B17" s="31" t="s">
        <v>11</v>
      </c>
      <c r="C17" s="31" t="s">
        <v>32</v>
      </c>
      <c r="D17" s="31" t="s">
        <v>33</v>
      </c>
      <c r="E17" s="32" t="n">
        <v>560</v>
      </c>
      <c r="F17" s="32" t="n">
        <v>48</v>
      </c>
      <c r="G17" s="32" t="n">
        <v>55</v>
      </c>
      <c r="H17" s="32" t="n">
        <v>12</v>
      </c>
      <c r="I17" s="0" t="str">
        <f aca="false">$A17&amp;"|"&amp;$B17</f>
        <v>Thu|Lunch</v>
      </c>
    </row>
    <row r="18" customFormat="false" ht="15" hidden="false" customHeight="false" outlineLevel="0" collapsed="false">
      <c r="A18" s="31" t="s">
        <v>56</v>
      </c>
      <c r="B18" s="31" t="s">
        <v>12</v>
      </c>
      <c r="C18" s="31" t="s">
        <v>34</v>
      </c>
      <c r="D18" s="31" t="s">
        <v>35</v>
      </c>
      <c r="E18" s="32" t="n">
        <v>600</v>
      </c>
      <c r="F18" s="32" t="n">
        <v>42</v>
      </c>
      <c r="G18" s="32" t="n">
        <v>62</v>
      </c>
      <c r="H18" s="32" t="n">
        <v>16</v>
      </c>
      <c r="I18" s="0" t="str">
        <f aca="false">$A18&amp;"|"&amp;$B18</f>
        <v>Thu|Dinner</v>
      </c>
    </row>
    <row r="19" customFormat="false" ht="15" hidden="false" customHeight="false" outlineLevel="0" collapsed="false">
      <c r="A19" s="31" t="s">
        <v>56</v>
      </c>
      <c r="B19" s="31" t="s">
        <v>13</v>
      </c>
      <c r="C19" s="31" t="s">
        <v>36</v>
      </c>
      <c r="D19" s="31" t="s">
        <v>37</v>
      </c>
      <c r="E19" s="32" t="n">
        <v>300</v>
      </c>
      <c r="F19" s="32" t="n">
        <v>28</v>
      </c>
      <c r="G19" s="32" t="n">
        <v>10</v>
      </c>
      <c r="H19" s="32" t="n">
        <v>14</v>
      </c>
      <c r="I19" s="0" t="str">
        <f aca="false">$A19&amp;"|"&amp;$B19</f>
        <v>Thu|Snack</v>
      </c>
    </row>
    <row r="20" customFormat="false" ht="15" hidden="false" customHeight="false" outlineLevel="0" collapsed="false">
      <c r="A20" s="29" t="s">
        <v>57</v>
      </c>
      <c r="B20" s="29" t="s">
        <v>10</v>
      </c>
      <c r="C20" s="29" t="s">
        <v>39</v>
      </c>
      <c r="D20" s="29" t="s">
        <v>40</v>
      </c>
      <c r="E20" s="30" t="n">
        <v>550</v>
      </c>
      <c r="F20" s="30" t="n">
        <v>42</v>
      </c>
      <c r="G20" s="30" t="n">
        <v>75</v>
      </c>
      <c r="H20" s="30" t="n">
        <v>6</v>
      </c>
      <c r="I20" s="0" t="str">
        <f aca="false">$A20&amp;"|"&amp;$B20</f>
        <v>Fri|Breakfast</v>
      </c>
    </row>
    <row r="21" customFormat="false" ht="15" hidden="false" customHeight="false" outlineLevel="0" collapsed="false">
      <c r="A21" s="29" t="s">
        <v>57</v>
      </c>
      <c r="B21" s="29" t="s">
        <v>11</v>
      </c>
      <c r="C21" s="29" t="s">
        <v>41</v>
      </c>
      <c r="D21" s="29" t="s">
        <v>42</v>
      </c>
      <c r="E21" s="30" t="n">
        <v>470</v>
      </c>
      <c r="F21" s="30" t="n">
        <v>38</v>
      </c>
      <c r="G21" s="30" t="n">
        <v>48</v>
      </c>
      <c r="H21" s="30" t="n">
        <v>10</v>
      </c>
      <c r="I21" s="0" t="str">
        <f aca="false">$A21&amp;"|"&amp;$B21</f>
        <v>Fri|Lunch</v>
      </c>
    </row>
    <row r="22" customFormat="false" ht="15" hidden="false" customHeight="false" outlineLevel="0" collapsed="false">
      <c r="A22" s="29" t="s">
        <v>57</v>
      </c>
      <c r="B22" s="29" t="s">
        <v>12</v>
      </c>
      <c r="C22" s="29" t="s">
        <v>43</v>
      </c>
      <c r="D22" s="29" t="s">
        <v>44</v>
      </c>
      <c r="E22" s="30" t="n">
        <v>760</v>
      </c>
      <c r="F22" s="30" t="n">
        <v>40</v>
      </c>
      <c r="G22" s="30" t="n">
        <v>75</v>
      </c>
      <c r="H22" s="30" t="n">
        <v>26</v>
      </c>
      <c r="I22" s="0" t="str">
        <f aca="false">$A22&amp;"|"&amp;$B22</f>
        <v>Fri|Dinner</v>
      </c>
    </row>
    <row r="23" customFormat="false" ht="15" hidden="false" customHeight="false" outlineLevel="0" collapsed="false">
      <c r="A23" s="29" t="s">
        <v>57</v>
      </c>
      <c r="B23" s="29" t="s">
        <v>13</v>
      </c>
      <c r="C23" s="29" t="s">
        <v>45</v>
      </c>
      <c r="D23" s="29" t="s">
        <v>46</v>
      </c>
      <c r="E23" s="30" t="n">
        <v>280</v>
      </c>
      <c r="F23" s="30" t="n">
        <v>20</v>
      </c>
      <c r="G23" s="30" t="n">
        <v>32</v>
      </c>
      <c r="H23" s="30" t="n">
        <v>7</v>
      </c>
      <c r="I23" s="0" t="str">
        <f aca="false">$A23&amp;"|"&amp;$B23</f>
        <v>Fri|Snack</v>
      </c>
    </row>
    <row r="24" customFormat="false" ht="15" hidden="false" customHeight="false" outlineLevel="0" collapsed="false">
      <c r="A24" s="31" t="s">
        <v>58</v>
      </c>
      <c r="B24" s="31" t="s">
        <v>10</v>
      </c>
      <c r="C24" s="31" t="s">
        <v>48</v>
      </c>
      <c r="D24" s="31" t="s">
        <v>49</v>
      </c>
      <c r="E24" s="32" t="n">
        <v>480</v>
      </c>
      <c r="F24" s="32" t="n">
        <v>38</v>
      </c>
      <c r="G24" s="32" t="n">
        <v>46</v>
      </c>
      <c r="H24" s="32" t="n">
        <v>10</v>
      </c>
      <c r="I24" s="0" t="str">
        <f aca="false">$A24&amp;"|"&amp;$B24</f>
        <v>Sat|Breakfast</v>
      </c>
    </row>
    <row r="25" customFormat="false" ht="15" hidden="false" customHeight="false" outlineLevel="0" collapsed="false">
      <c r="A25" s="31" t="s">
        <v>58</v>
      </c>
      <c r="B25" s="31" t="s">
        <v>11</v>
      </c>
      <c r="C25" s="31" t="s">
        <v>50</v>
      </c>
      <c r="D25" s="31" t="s">
        <v>51</v>
      </c>
      <c r="E25" s="32" t="n">
        <v>600</v>
      </c>
      <c r="F25" s="32" t="n">
        <v>45</v>
      </c>
      <c r="G25" s="32" t="n">
        <v>22</v>
      </c>
      <c r="H25" s="32" t="n">
        <v>30</v>
      </c>
      <c r="I25" s="0" t="str">
        <f aca="false">$A25&amp;"|"&amp;$B25</f>
        <v>Sat|Lunch</v>
      </c>
    </row>
    <row r="26" customFormat="false" ht="15" hidden="false" customHeight="false" outlineLevel="0" collapsed="false">
      <c r="A26" s="31" t="s">
        <v>58</v>
      </c>
      <c r="B26" s="31" t="s">
        <v>12</v>
      </c>
      <c r="C26" s="31" t="s">
        <v>52</v>
      </c>
      <c r="D26" s="31" t="s">
        <v>53</v>
      </c>
      <c r="E26" s="32" t="n">
        <v>620</v>
      </c>
      <c r="F26" s="32" t="n">
        <v>50</v>
      </c>
      <c r="G26" s="32" t="n">
        <v>58</v>
      </c>
      <c r="H26" s="32" t="n">
        <v>14</v>
      </c>
      <c r="I26" s="0" t="str">
        <f aca="false">$A26&amp;"|"&amp;$B26</f>
        <v>Sat|Dinner</v>
      </c>
    </row>
    <row r="27" customFormat="false" ht="15" hidden="false" customHeight="false" outlineLevel="0" collapsed="false">
      <c r="A27" s="31" t="s">
        <v>58</v>
      </c>
      <c r="B27" s="31" t="s">
        <v>13</v>
      </c>
      <c r="C27" s="31" t="s">
        <v>54</v>
      </c>
      <c r="D27" s="31" t="s">
        <v>55</v>
      </c>
      <c r="E27" s="32" t="n">
        <v>240</v>
      </c>
      <c r="F27" s="32" t="n">
        <v>22</v>
      </c>
      <c r="G27" s="32" t="n">
        <v>24</v>
      </c>
      <c r="H27" s="32" t="n">
        <v>2</v>
      </c>
      <c r="I27" s="0" t="str">
        <f aca="false">$A27&amp;"|"&amp;$B27</f>
        <v>Sat|Snack</v>
      </c>
    </row>
    <row r="28" customFormat="false" ht="15" hidden="false" customHeight="false" outlineLevel="0" collapsed="false">
      <c r="A28" s="29" t="s">
        <v>59</v>
      </c>
      <c r="B28" s="29" t="s">
        <v>10</v>
      </c>
      <c r="C28" s="29" t="s">
        <v>30</v>
      </c>
      <c r="D28" s="29" t="s">
        <v>31</v>
      </c>
      <c r="E28" s="30" t="n">
        <v>520</v>
      </c>
      <c r="F28" s="30" t="n">
        <v>30</v>
      </c>
      <c r="G28" s="30" t="n">
        <v>52</v>
      </c>
      <c r="H28" s="30" t="n">
        <v>18</v>
      </c>
      <c r="I28" s="0" t="str">
        <f aca="false">$A28&amp;"|"&amp;$B28</f>
        <v>Sun|Breakfast</v>
      </c>
    </row>
    <row r="29" customFormat="false" ht="15" hidden="false" customHeight="false" outlineLevel="0" collapsed="false">
      <c r="A29" s="29" t="s">
        <v>59</v>
      </c>
      <c r="B29" s="29" t="s">
        <v>11</v>
      </c>
      <c r="C29" s="29" t="s">
        <v>32</v>
      </c>
      <c r="D29" s="29" t="s">
        <v>33</v>
      </c>
      <c r="E29" s="30" t="n">
        <v>560</v>
      </c>
      <c r="F29" s="30" t="n">
        <v>48</v>
      </c>
      <c r="G29" s="30" t="n">
        <v>55</v>
      </c>
      <c r="H29" s="30" t="n">
        <v>12</v>
      </c>
      <c r="I29" s="0" t="str">
        <f aca="false">$A29&amp;"|"&amp;$B29</f>
        <v>Sun|Lunch</v>
      </c>
    </row>
    <row r="30" customFormat="false" ht="15" hidden="false" customHeight="false" outlineLevel="0" collapsed="false">
      <c r="A30" s="29" t="s">
        <v>59</v>
      </c>
      <c r="B30" s="29" t="s">
        <v>12</v>
      </c>
      <c r="C30" s="29" t="s">
        <v>34</v>
      </c>
      <c r="D30" s="29" t="s">
        <v>35</v>
      </c>
      <c r="E30" s="30" t="n">
        <v>600</v>
      </c>
      <c r="F30" s="30" t="n">
        <v>42</v>
      </c>
      <c r="G30" s="30" t="n">
        <v>62</v>
      </c>
      <c r="H30" s="30" t="n">
        <v>16</v>
      </c>
      <c r="I30" s="0" t="str">
        <f aca="false">$A30&amp;"|"&amp;$B30</f>
        <v>Sun|Dinner</v>
      </c>
    </row>
    <row r="31" customFormat="false" ht="15" hidden="false" customHeight="false" outlineLevel="0" collapsed="false">
      <c r="A31" s="29" t="s">
        <v>59</v>
      </c>
      <c r="B31" s="29" t="s">
        <v>13</v>
      </c>
      <c r="C31" s="29" t="s">
        <v>36</v>
      </c>
      <c r="D31" s="29" t="s">
        <v>37</v>
      </c>
      <c r="E31" s="30" t="n">
        <v>300</v>
      </c>
      <c r="F31" s="30" t="n">
        <v>28</v>
      </c>
      <c r="G31" s="30" t="n">
        <v>10</v>
      </c>
      <c r="H31" s="30" t="n">
        <v>14</v>
      </c>
      <c r="I31" s="0" t="str">
        <f aca="false">$A31&amp;"|"&amp;$B31</f>
        <v>Sun|Snack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9D9"/>
    <pageSetUpPr fitToPage="false"/>
  </sheetPr>
  <dimension ref="A1:D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3"/>
    <col collapsed="false" customWidth="true" hidden="false" outlineLevel="0" max="4" min="4" style="0" width="30"/>
  </cols>
  <sheetData>
    <row r="1" customFormat="false" ht="18.55" hidden="false" customHeight="false" outlineLevel="0" collapsed="false">
      <c r="A1" s="26" t="s">
        <v>60</v>
      </c>
      <c r="B1" s="26"/>
      <c r="C1" s="26"/>
      <c r="D1" s="26"/>
    </row>
    <row r="2" customFormat="false" ht="15" hidden="false" customHeight="false" outlineLevel="0" collapsed="false">
      <c r="A2" s="27" t="s">
        <v>61</v>
      </c>
      <c r="B2" s="27"/>
      <c r="C2" s="27"/>
      <c r="D2" s="27"/>
    </row>
    <row r="3" customFormat="false" ht="15" hidden="false" customHeight="false" outlineLevel="0" collapsed="false">
      <c r="A3" s="28" t="s">
        <v>62</v>
      </c>
      <c r="B3" s="28" t="s">
        <v>63</v>
      </c>
      <c r="C3" s="28" t="s">
        <v>64</v>
      </c>
      <c r="D3" s="28" t="s">
        <v>65</v>
      </c>
    </row>
    <row r="4" customFormat="false" ht="15" hidden="false" customHeight="false" outlineLevel="0" collapsed="false">
      <c r="A4" s="33" t="n">
        <v>46271</v>
      </c>
      <c r="B4" s="34" t="n">
        <v>88.6</v>
      </c>
      <c r="C4" s="30"/>
      <c r="D4" s="35"/>
    </row>
    <row r="5" customFormat="false" ht="15" hidden="false" customHeight="false" outlineLevel="0" collapsed="false">
      <c r="A5" s="33" t="n">
        <v>46278</v>
      </c>
      <c r="B5" s="34" t="n">
        <v>88.2</v>
      </c>
      <c r="C5" s="36" t="n">
        <f aca="false">IF(AND(B5&lt;&gt;"",B4&lt;&gt;""),B5-B4,"")</f>
        <v>-0.399999999999992</v>
      </c>
      <c r="D5" s="35"/>
    </row>
    <row r="6" customFormat="false" ht="15" hidden="false" customHeight="false" outlineLevel="0" collapsed="false">
      <c r="A6" s="33" t="n">
        <v>46285</v>
      </c>
      <c r="B6" s="34" t="n">
        <v>88.4</v>
      </c>
      <c r="C6" s="36" t="n">
        <f aca="false">IF(AND(B6&lt;&gt;"",B5&lt;&gt;""),B6-B5,"")</f>
        <v>0.200000000000003</v>
      </c>
      <c r="D6" s="35"/>
    </row>
    <row r="7" customFormat="false" ht="15" hidden="false" customHeight="false" outlineLevel="0" collapsed="false">
      <c r="A7" s="33" t="n">
        <v>46292</v>
      </c>
      <c r="B7" s="34" t="n">
        <v>87.9</v>
      </c>
      <c r="C7" s="36" t="n">
        <f aca="false">IF(AND(B7&lt;&gt;"",B6&lt;&gt;""),B7-B6,"")</f>
        <v>-0.5</v>
      </c>
      <c r="D7" s="35"/>
    </row>
    <row r="8" customFormat="false" ht="15" hidden="false" customHeight="false" outlineLevel="0" collapsed="false">
      <c r="A8" s="33" t="n">
        <v>46299</v>
      </c>
      <c r="B8" s="34" t="n">
        <v>87.6</v>
      </c>
      <c r="C8" s="36" t="n">
        <f aca="false">IF(AND(B8&lt;&gt;"",B7&lt;&gt;""),B8-B7,"")</f>
        <v>-0.300000000000011</v>
      </c>
      <c r="D8" s="35"/>
    </row>
    <row r="9" customFormat="false" ht="15" hidden="false" customHeight="false" outlineLevel="0" collapsed="false">
      <c r="A9" s="33" t="n">
        <v>46306</v>
      </c>
      <c r="B9" s="34" t="n">
        <v>87.7</v>
      </c>
      <c r="C9" s="36" t="n">
        <f aca="false">IF(AND(B9&lt;&gt;"",B8&lt;&gt;""),B9-B8,"")</f>
        <v>0.100000000000009</v>
      </c>
      <c r="D9" s="35"/>
    </row>
    <row r="10" customFormat="false" ht="15" hidden="false" customHeight="false" outlineLevel="0" collapsed="false">
      <c r="A10" s="33" t="n">
        <v>46313</v>
      </c>
      <c r="B10" s="34" t="n">
        <v>87.2</v>
      </c>
      <c r="C10" s="36" t="n">
        <f aca="false">IF(AND(B10&lt;&gt;"",B9&lt;&gt;""),B10-B9,"")</f>
        <v>-0.5</v>
      </c>
      <c r="D10" s="35"/>
    </row>
    <row r="11" customFormat="false" ht="15" hidden="false" customHeight="false" outlineLevel="0" collapsed="false">
      <c r="A11" s="33" t="n">
        <v>46320</v>
      </c>
      <c r="B11" s="34" t="n">
        <v>87</v>
      </c>
      <c r="C11" s="36" t="n">
        <f aca="false">IF(AND(B11&lt;&gt;"",B10&lt;&gt;""),B11-B10,"")</f>
        <v>-0.200000000000003</v>
      </c>
      <c r="D11" s="35"/>
    </row>
    <row r="12" customFormat="false" ht="15" hidden="false" customHeight="false" outlineLevel="0" collapsed="false">
      <c r="A12" s="30"/>
      <c r="B12" s="34"/>
      <c r="C12" s="36" t="str">
        <f aca="false">IF(AND(B12&lt;&gt;"",B11&lt;&gt;""),B12-B11,"")</f>
        <v/>
      </c>
      <c r="D12" s="35"/>
    </row>
    <row r="13" customFormat="false" ht="15" hidden="false" customHeight="false" outlineLevel="0" collapsed="false">
      <c r="A13" s="30"/>
      <c r="B13" s="34"/>
      <c r="C13" s="36" t="str">
        <f aca="false">IF(AND(B13&lt;&gt;"",B12&lt;&gt;""),B13-B12,"")</f>
        <v/>
      </c>
      <c r="D13" s="35"/>
    </row>
    <row r="14" customFormat="false" ht="15" hidden="false" customHeight="false" outlineLevel="0" collapsed="false">
      <c r="A14" s="30"/>
      <c r="B14" s="34"/>
      <c r="C14" s="36" t="str">
        <f aca="false">IF(AND(B14&lt;&gt;"",B13&lt;&gt;""),B14-B13,"")</f>
        <v/>
      </c>
      <c r="D14" s="35"/>
    </row>
    <row r="15" customFormat="false" ht="15" hidden="false" customHeight="false" outlineLevel="0" collapsed="false">
      <c r="A15" s="30"/>
      <c r="B15" s="34"/>
      <c r="C15" s="36" t="str">
        <f aca="false">IF(AND(B15&lt;&gt;"",B14&lt;&gt;""),B15-B14,"")</f>
        <v/>
      </c>
      <c r="D15" s="35"/>
    </row>
    <row r="16" customFormat="false" ht="15" hidden="false" customHeight="false" outlineLevel="0" collapsed="false">
      <c r="A16" s="30"/>
      <c r="B16" s="34"/>
      <c r="C16" s="36" t="str">
        <f aca="false">IF(AND(B16&lt;&gt;"",B15&lt;&gt;""),B16-B15,"")</f>
        <v/>
      </c>
      <c r="D16" s="35"/>
    </row>
    <row r="17" customFormat="false" ht="15" hidden="false" customHeight="false" outlineLevel="0" collapsed="false">
      <c r="A17" s="30"/>
      <c r="B17" s="34"/>
      <c r="C17" s="36" t="str">
        <f aca="false">IF(AND(B17&lt;&gt;"",B16&lt;&gt;""),B17-B16,"")</f>
        <v/>
      </c>
      <c r="D17" s="35"/>
    </row>
    <row r="18" customFormat="false" ht="15" hidden="false" customHeight="false" outlineLevel="0" collapsed="false">
      <c r="A18" s="30"/>
      <c r="B18" s="34"/>
      <c r="C18" s="36" t="str">
        <f aca="false">IF(AND(B18&lt;&gt;"",B17&lt;&gt;""),B18-B17,"")</f>
        <v/>
      </c>
      <c r="D18" s="35"/>
    </row>
    <row r="19" customFormat="false" ht="15" hidden="false" customHeight="false" outlineLevel="0" collapsed="false">
      <c r="A19" s="30"/>
      <c r="B19" s="34"/>
      <c r="C19" s="36" t="str">
        <f aca="false">IF(AND(B19&lt;&gt;"",B18&lt;&gt;""),B19-B18,"")</f>
        <v/>
      </c>
      <c r="D19" s="35"/>
    </row>
    <row r="20" customFormat="false" ht="15" hidden="false" customHeight="false" outlineLevel="0" collapsed="false">
      <c r="A20" s="30"/>
      <c r="B20" s="34"/>
      <c r="C20" s="36" t="str">
        <f aca="false">IF(AND(B20&lt;&gt;"",B19&lt;&gt;""),B20-B19,"")</f>
        <v/>
      </c>
      <c r="D20" s="35"/>
    </row>
    <row r="21" customFormat="false" ht="15" hidden="false" customHeight="false" outlineLevel="0" collapsed="false">
      <c r="A21" s="30"/>
      <c r="B21" s="34"/>
      <c r="C21" s="36" t="str">
        <f aca="false">IF(AND(B21&lt;&gt;"",B20&lt;&gt;""),B21-B20,"")</f>
        <v/>
      </c>
      <c r="D21" s="35"/>
    </row>
    <row r="22" customFormat="false" ht="15" hidden="false" customHeight="false" outlineLevel="0" collapsed="false">
      <c r="A22" s="30"/>
      <c r="B22" s="34"/>
      <c r="C22" s="36" t="str">
        <f aca="false">IF(AND(B22&lt;&gt;"",B21&lt;&gt;""),B22-B21,"")</f>
        <v/>
      </c>
      <c r="D22" s="35"/>
    </row>
    <row r="23" customFormat="false" ht="15" hidden="false" customHeight="false" outlineLevel="0" collapsed="false">
      <c r="A23" s="30"/>
      <c r="B23" s="34"/>
      <c r="C23" s="36" t="str">
        <f aca="false">IF(AND(B23&lt;&gt;"",B22&lt;&gt;""),B23-B22,"")</f>
        <v/>
      </c>
      <c r="D23" s="35"/>
    </row>
    <row r="24" customFormat="false" ht="15" hidden="false" customHeight="false" outlineLevel="0" collapsed="false">
      <c r="A24" s="30"/>
      <c r="B24" s="34"/>
      <c r="C24" s="36" t="str">
        <f aca="false">IF(AND(B24&lt;&gt;"",B23&lt;&gt;""),B24-B23,"")</f>
        <v/>
      </c>
      <c r="D24" s="35"/>
    </row>
    <row r="25" customFormat="false" ht="15" hidden="false" customHeight="false" outlineLevel="0" collapsed="false">
      <c r="A25" s="30"/>
      <c r="B25" s="34"/>
      <c r="C25" s="36" t="str">
        <f aca="false">IF(AND(B25&lt;&gt;"",B24&lt;&gt;""),B25-B24,"")</f>
        <v/>
      </c>
      <c r="D25" s="35"/>
    </row>
    <row r="26" customFormat="false" ht="15" hidden="false" customHeight="false" outlineLevel="0" collapsed="false">
      <c r="A26" s="30"/>
      <c r="B26" s="34"/>
      <c r="C26" s="36" t="str">
        <f aca="false">IF(AND(B26&lt;&gt;"",B25&lt;&gt;""),B26-B25,"")</f>
        <v/>
      </c>
      <c r="D26" s="35"/>
    </row>
    <row r="27" customFormat="false" ht="15" hidden="false" customHeight="false" outlineLevel="0" collapsed="false">
      <c r="A27" s="30"/>
      <c r="B27" s="34"/>
      <c r="C27" s="36" t="str">
        <f aca="false">IF(AND(B27&lt;&gt;"",B26&lt;&gt;""),B27-B26,"")</f>
        <v/>
      </c>
      <c r="D27" s="35"/>
    </row>
    <row r="28" customFormat="false" ht="15" hidden="false" customHeight="false" outlineLevel="0" collapsed="false">
      <c r="A28" s="30"/>
      <c r="B28" s="34"/>
      <c r="C28" s="36" t="str">
        <f aca="false">IF(AND(B28&lt;&gt;"",B27&lt;&gt;""),B28-B27,"")</f>
        <v/>
      </c>
      <c r="D28" s="35"/>
    </row>
    <row r="29" customFormat="false" ht="15" hidden="false" customHeight="false" outlineLevel="0" collapsed="false">
      <c r="A29" s="30"/>
      <c r="B29" s="34"/>
      <c r="C29" s="36" t="str">
        <f aca="false">IF(AND(B29&lt;&gt;"",B28&lt;&gt;""),B29-B28,"")</f>
        <v/>
      </c>
      <c r="D29" s="35"/>
    </row>
    <row r="30" customFormat="false" ht="15" hidden="false" customHeight="false" outlineLevel="0" collapsed="false">
      <c r="A30" s="30"/>
      <c r="B30" s="34"/>
      <c r="C30" s="36" t="str">
        <f aca="false">IF(AND(B30&lt;&gt;"",B29&lt;&gt;""),B30-B29,"")</f>
        <v/>
      </c>
      <c r="D30" s="35"/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9D9"/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9"/>
  </cols>
  <sheetData>
    <row r="1" customFormat="false" ht="18.55" hidden="false" customHeight="false" outlineLevel="0" collapsed="false">
      <c r="A1" s="26" t="s">
        <v>66</v>
      </c>
      <c r="B1" s="26"/>
      <c r="C1" s="26"/>
      <c r="D1" s="26"/>
    </row>
    <row r="2" customFormat="false" ht="15" hidden="false" customHeight="false" outlineLevel="0" collapsed="false">
      <c r="A2" s="27" t="s">
        <v>67</v>
      </c>
      <c r="B2" s="27"/>
      <c r="C2" s="27"/>
      <c r="D2" s="27"/>
    </row>
    <row r="3" customFormat="false" ht="15" hidden="false" customHeight="false" outlineLevel="0" collapsed="false">
      <c r="A3" s="28" t="s">
        <v>68</v>
      </c>
      <c r="B3" s="28" t="s">
        <v>69</v>
      </c>
      <c r="C3" s="28" t="s">
        <v>70</v>
      </c>
      <c r="D3" s="28" t="s">
        <v>71</v>
      </c>
    </row>
    <row r="4" customFormat="false" ht="15" hidden="false" customHeight="false" outlineLevel="0" collapsed="false">
      <c r="A4" s="37" t="s">
        <v>72</v>
      </c>
      <c r="B4" s="29" t="s">
        <v>73</v>
      </c>
      <c r="C4" s="38"/>
      <c r="D4" s="39"/>
    </row>
    <row r="5" customFormat="false" ht="15" hidden="false" customHeight="false" outlineLevel="0" collapsed="false">
      <c r="A5" s="37" t="s">
        <v>72</v>
      </c>
      <c r="B5" s="29" t="s">
        <v>74</v>
      </c>
      <c r="C5" s="38"/>
      <c r="D5" s="39"/>
    </row>
    <row r="6" customFormat="false" ht="15" hidden="false" customHeight="false" outlineLevel="0" collapsed="false">
      <c r="A6" s="37" t="s">
        <v>72</v>
      </c>
      <c r="B6" s="29" t="s">
        <v>75</v>
      </c>
      <c r="C6" s="38"/>
      <c r="D6" s="39"/>
    </row>
    <row r="7" customFormat="false" ht="15" hidden="false" customHeight="false" outlineLevel="0" collapsed="false">
      <c r="A7" s="37" t="s">
        <v>72</v>
      </c>
      <c r="B7" s="29" t="s">
        <v>76</v>
      </c>
      <c r="C7" s="38"/>
      <c r="D7" s="39"/>
    </row>
    <row r="8" customFormat="false" ht="15" hidden="false" customHeight="false" outlineLevel="0" collapsed="false">
      <c r="A8" s="37" t="s">
        <v>16</v>
      </c>
      <c r="B8" s="29" t="s">
        <v>77</v>
      </c>
      <c r="C8" s="38"/>
      <c r="D8" s="39"/>
    </row>
    <row r="9" customFormat="false" ht="15" hidden="false" customHeight="false" outlineLevel="0" collapsed="false">
      <c r="A9" s="37" t="s">
        <v>16</v>
      </c>
      <c r="B9" s="29" t="s">
        <v>78</v>
      </c>
      <c r="C9" s="38"/>
      <c r="D9" s="39"/>
    </row>
    <row r="10" customFormat="false" ht="15" hidden="false" customHeight="false" outlineLevel="0" collapsed="false">
      <c r="A10" s="37" t="s">
        <v>16</v>
      </c>
      <c r="B10" s="29" t="s">
        <v>79</v>
      </c>
      <c r="C10" s="38"/>
      <c r="D10" s="39"/>
    </row>
    <row r="11" customFormat="false" ht="15" hidden="false" customHeight="false" outlineLevel="0" collapsed="false">
      <c r="A11" s="37" t="s">
        <v>80</v>
      </c>
      <c r="B11" s="29" t="s">
        <v>81</v>
      </c>
      <c r="C11" s="38"/>
      <c r="D11" s="39"/>
    </row>
    <row r="12" customFormat="false" ht="15" hidden="false" customHeight="false" outlineLevel="0" collapsed="false">
      <c r="A12" s="37" t="s">
        <v>80</v>
      </c>
      <c r="B12" s="29" t="s">
        <v>82</v>
      </c>
      <c r="C12" s="38"/>
      <c r="D12" s="39"/>
    </row>
    <row r="13" customFormat="false" ht="15" hidden="false" customHeight="false" outlineLevel="0" collapsed="false">
      <c r="A13" s="37" t="s">
        <v>80</v>
      </c>
      <c r="B13" s="29" t="s">
        <v>83</v>
      </c>
      <c r="C13" s="38"/>
      <c r="D13" s="39"/>
    </row>
    <row r="14" customFormat="false" ht="15" hidden="false" customHeight="false" outlineLevel="0" collapsed="false">
      <c r="A14" s="37" t="s">
        <v>84</v>
      </c>
      <c r="B14" s="29" t="s">
        <v>85</v>
      </c>
      <c r="C14" s="38"/>
      <c r="D14" s="39"/>
    </row>
    <row r="15" customFormat="false" ht="15" hidden="false" customHeight="false" outlineLevel="0" collapsed="false">
      <c r="A15" s="37" t="s">
        <v>84</v>
      </c>
      <c r="B15" s="29" t="s">
        <v>86</v>
      </c>
      <c r="C15" s="38"/>
      <c r="D15" s="39"/>
    </row>
    <row r="16" customFormat="false" ht="15" hidden="false" customHeight="false" outlineLevel="0" collapsed="false">
      <c r="A16" s="37" t="s">
        <v>84</v>
      </c>
      <c r="B16" s="29" t="s">
        <v>87</v>
      </c>
      <c r="C16" s="38"/>
      <c r="D16" s="39"/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2026-10-24T11:05:59Z</dcterms:created>
  <dc:creator>openpyxl</dc:creator>
  <dc:description/>
  <dc:language>en-US</dc:language>
  <cp:lastModifiedBy/>
  <dcterms:modified xsi:type="dcterms:W3CDTF">2026-10-24T13:06:38Z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