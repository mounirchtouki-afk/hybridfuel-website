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Weekplan" sheetId="2" state="visible" r:id="rId4"/>
    <sheet name="Gewicht" sheetId="3" state="visible" r:id="rId5"/>
    <sheet name="Boodschappen" sheetId="4" state="visible" r:id="rId6"/>
    <sheet name="Recepte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<sst xmlns="http://schemas.openxmlformats.org/spreadsheetml/2006/main" count="371" uniqueCount="235">
  <si>
    <t xml:space="preserve">H</t>
  </si>
  <si>
    <t xml:space="preserve">HYBRIDFUELCO</t>
  </si>
  <si>
    <t xml:space="preserve">VOORTGANGSTRACKER</t>
  </si>
  <si>
    <t xml:space="preserve">Huidig gewicht</t>
  </si>
  <si>
    <t xml:space="preserve">Laatste verandering</t>
  </si>
  <si>
    <t xml:space="preserve">Status</t>
  </si>
  <si>
    <t xml:space="preserve">Vandaag</t>
  </si>
  <si>
    <t xml:space="preserve">Gewichtsverloop</t>
  </si>
  <si>
    <t xml:space="preserve">Vandaag — eten</t>
  </si>
  <si>
    <t xml:space="preserve">Ma</t>
  </si>
  <si>
    <t xml:space="preserve">Ontbijt</t>
  </si>
  <si>
    <t xml:space="preserve">Lunch</t>
  </si>
  <si>
    <t xml:space="preserve">Diner</t>
  </si>
  <si>
    <t xml:space="preserve">Snack</t>
  </si>
  <si>
    <t xml:space="preserve">Dagtotaal</t>
  </si>
  <si>
    <t xml:space="preserve">Dagmacro's — gekozen dag</t>
  </si>
  <si>
    <t xml:space="preserve">Eiwit</t>
  </si>
  <si>
    <t xml:space="preserve">Koolhydraten</t>
  </si>
  <si>
    <t xml:space="preserve">Vet</t>
  </si>
  <si>
    <t xml:space="preserve">WEEKPLAN</t>
  </si>
  <si>
    <t xml:space="preserve">Vervang deze voorbeeldweek door je eigen plan uit de app. Het dashboard leest 'Vandaag' hieruit.</t>
  </si>
  <si>
    <t xml:space="preserve">Dag</t>
  </si>
  <si>
    <t xml:space="preserve">Type</t>
  </si>
  <si>
    <t xml:space="preserve">Gerecht</t>
  </si>
  <si>
    <t xml:space="preserve">Ingrediënten</t>
  </si>
  <si>
    <t xml:space="preserve">kcal</t>
  </si>
  <si>
    <t xml:space="preserve">Eiwit (g)</t>
  </si>
  <si>
    <t xml:space="preserve">Koolh. (g)</t>
  </si>
  <si>
    <t xml:space="preserve">Vet (g)</t>
  </si>
  <si>
    <t xml:space="preserve">key</t>
  </si>
  <si>
    <t xml:space="preserve">Hartige havermout met ei</t>
  </si>
  <si>
    <t xml:space="preserve">60g havermout, 2 eieren, 100g spinazie</t>
  </si>
  <si>
    <t xml:space="preserve">Kip &amp; rijst bowl</t>
  </si>
  <si>
    <t xml:space="preserve">150g kip, 70g rijst, 150g groente</t>
  </si>
  <si>
    <t xml:space="preserve">Mager gehakt met pasta</t>
  </si>
  <si>
    <t xml:space="preserve">130g gehakt, 70g pasta, tomatensaus</t>
  </si>
  <si>
    <t xml:space="preserve">Kwark met noten</t>
  </si>
  <si>
    <t xml:space="preserve">200g kwark, 20g noten</t>
  </si>
  <si>
    <t xml:space="preserve">Di</t>
  </si>
  <si>
    <t xml:space="preserve">Kwark met havermout &amp; bes</t>
  </si>
  <si>
    <t xml:space="preserve">250g kwark, 40g havermout, 100g bes</t>
  </si>
  <si>
    <t xml:space="preserve">Tonijnwrap</t>
  </si>
  <si>
    <t xml:space="preserve">1 wrap, 100g tonijn, 50g mais</t>
  </si>
  <si>
    <t xml:space="preserve">Zalm met quinoa</t>
  </si>
  <si>
    <t xml:space="preserve">125g zalm, 60g quinoa, 100g broccoli</t>
  </si>
  <si>
    <t xml:space="preserve">Proteïnereep &amp; fruit</t>
  </si>
  <si>
    <t xml:space="preserve">1 reep, 1 appel</t>
  </si>
  <si>
    <t xml:space="preserve">Wo</t>
  </si>
  <si>
    <t xml:space="preserve">Eiwitpannenkoeken</t>
  </si>
  <si>
    <t xml:space="preserve">50g havermeel, 30g whey, 1 ei</t>
  </si>
  <si>
    <t xml:space="preserve">Rund &amp; avocado bowl</t>
  </si>
  <si>
    <t xml:space="preserve">150g rundergehakt, 80g avocado, 80g sla</t>
  </si>
  <si>
    <t xml:space="preserve">Kipfilet met zoete aardappel</t>
  </si>
  <si>
    <t xml:space="preserve">160g kip, 200g zoete aardappel, 150g groente</t>
  </si>
  <si>
    <t xml:space="preserve">Skyr met honing</t>
  </si>
  <si>
    <t xml:space="preserve">200g skyr, 15g honing</t>
  </si>
  <si>
    <t xml:space="preserve">Do</t>
  </si>
  <si>
    <t xml:space="preserve">Vr</t>
  </si>
  <si>
    <t xml:space="preserve">Za</t>
  </si>
  <si>
    <t xml:space="preserve">Zo</t>
  </si>
  <si>
    <t xml:space="preserve">GEWICHT &amp; VOORTGANG</t>
  </si>
  <si>
    <t xml:space="preserve">Weeg je 1x per week op een vast moment. Vul datum + gewicht in; de grafiek en het dashboard updaten vanzelf.</t>
  </si>
  <si>
    <t xml:space="preserve">Datum</t>
  </si>
  <si>
    <t xml:space="preserve">Gewicht (kg)</t>
  </si>
  <si>
    <t xml:space="preserve">Verschil (kg)</t>
  </si>
  <si>
    <t xml:space="preserve">Notitie</t>
  </si>
  <si>
    <t xml:space="preserve">BMI-TOOL</t>
  </si>
  <si>
    <t xml:space="preserve">Lengte (cm)</t>
  </si>
  <si>
    <t xml:space="preserve">← vul in</t>
  </si>
  <si>
    <t xml:space="preserve">Laatste gewicht (kg)</t>
  </si>
  <si>
    <t xml:space="preserve">BMI</t>
  </si>
  <si>
    <t xml:space="preserve">Categorie</t>
  </si>
  <si>
    <t xml:space="preserve">BMI = gewicht ÷ lengte². Ruwe maat (spiermassa telt niet mee). Onder 18,5 = ondergewicht — dan niet verder afvallen.</t>
  </si>
  <si>
    <t xml:space="preserve">BOODSCHAPPEN</t>
  </si>
  <si>
    <t xml:space="preserve">Je weeklijst, per categorie. Vink af wat je in huis hebt.</t>
  </si>
  <si>
    <t xml:space="preserve">Product</t>
  </si>
  <si>
    <t xml:space="preserve">Hoeveelheid</t>
  </si>
  <si>
    <t xml:space="preserve">In huis?</t>
  </si>
  <si>
    <t xml:space="preserve">Groente &amp; Fruit</t>
  </si>
  <si>
    <t xml:space="preserve">Spinazie 500g</t>
  </si>
  <si>
    <t xml:space="preserve">Broccoli 400g</t>
  </si>
  <si>
    <t xml:space="preserve">Appels 7st</t>
  </si>
  <si>
    <t xml:space="preserve">Bessen 300g</t>
  </si>
  <si>
    <t xml:space="preserve">Vlees &amp; Vis</t>
  </si>
  <si>
    <t xml:space="preserve">Kipfilet 1kg</t>
  </si>
  <si>
    <t xml:space="preserve">Rundergehakt 500g</t>
  </si>
  <si>
    <t xml:space="preserve">Zalmfilet 400g</t>
  </si>
  <si>
    <t xml:space="preserve">Zuivel</t>
  </si>
  <si>
    <t xml:space="preserve">Magere kwark 1kg</t>
  </si>
  <si>
    <t xml:space="preserve">Skyr 500g</t>
  </si>
  <si>
    <t xml:space="preserve">Eieren 12st</t>
  </si>
  <si>
    <t xml:space="preserve">Granen</t>
  </si>
  <si>
    <t xml:space="preserve">Havermout 500g</t>
  </si>
  <si>
    <t xml:space="preserve">Rijst 500g</t>
  </si>
  <si>
    <t xml:space="preserve">Pasta 500g</t>
  </si>
  <si>
    <t xml:space="preserve">RECEPTEN</t>
  </si>
  <si>
    <t xml:space="preserve">10 kok-recepten met macro's en bereiding. Macro's zijn schattingen voor de genoemde hoeveelheden.</t>
  </si>
  <si>
    <t xml:space="preserve">Hartige Havermout met Ei</t>
  </si>
  <si>
    <t xml:space="preserve">Ontbijt · Fibermaxxing / Herstel   —   420 kcal · 22g P · 42g C · 16g F · 9g vezels</t>
  </si>
  <si>
    <t xml:space="preserve">INGREDIËNTEN</t>
  </si>
  <si>
    <t xml:space="preserve">Havermout</t>
  </si>
  <si>
    <t xml:space="preserve">50 g</t>
  </si>
  <si>
    <t xml:space="preserve">Vetarme bouillon</t>
  </si>
  <si>
    <t xml:space="preserve">150 ml</t>
  </si>
  <si>
    <t xml:space="preserve">Verse spinazie</t>
  </si>
  <si>
    <t xml:space="preserve">100 g</t>
  </si>
  <si>
    <t xml:space="preserve">Ei (gepocheerd)</t>
  </si>
  <si>
    <t xml:space="preserve">1 (50 g)</t>
  </si>
  <si>
    <t xml:space="preserve">Pompoenpitten</t>
  </si>
  <si>
    <t xml:space="preserve">15 g</t>
  </si>
  <si>
    <t xml:space="preserve">BEREIDING</t>
  </si>
  <si>
    <t xml:space="preserve">Breng de bouillon in een steelpan tegen de kook aan.</t>
  </si>
  <si>
    <t xml:space="preserve">Roer de havermout erdoor en kook 4–5 min, al roerend, tot romig.</t>
  </si>
  <si>
    <t xml:space="preserve">Schep de laatste minuut de spinazie erdoor tot net geslonken; breng op smaak.</t>
  </si>
  <si>
    <t xml:space="preserve">Pocheer ondertussen het ei ~3 min in zacht kokend water met een scheutje azijn.</t>
  </si>
  <si>
    <t xml:space="preserve">Schep de havermout in een kom, leg het ei erop, strooi de pompoenpitten erover en wat peper.</t>
  </si>
  <si>
    <t xml:space="preserve">Vegan Linzen-Kikkererwten Curry</t>
  </si>
  <si>
    <t xml:space="preserve">Diner · Plantaardig / Spieropbouw   —   510 kcal · 26g P · 58g C · 15g F · 14g vezels</t>
  </si>
  <si>
    <t xml:space="preserve">Linzen (uit blik)</t>
  </si>
  <si>
    <t xml:space="preserve">Kikkererwten (uit blik)</t>
  </si>
  <si>
    <t xml:space="preserve">Tomatenblokjes</t>
  </si>
  <si>
    <t xml:space="preserve">150 g</t>
  </si>
  <si>
    <t xml:space="preserve">Lichte kokosmelk</t>
  </si>
  <si>
    <t xml:space="preserve">50 ml</t>
  </si>
  <si>
    <t xml:space="preserve">Boerenkool</t>
  </si>
  <si>
    <t xml:space="preserve">30 g</t>
  </si>
  <si>
    <t xml:space="preserve">Currykruiden</t>
  </si>
  <si>
    <t xml:space="preserve">5 g</t>
  </si>
  <si>
    <t xml:space="preserve">Verwarm een scheutje olie; rooster de currykruiden ~30 sec tot ze geuren.</t>
  </si>
  <si>
    <t xml:space="preserve">Voeg de tomatenblokjes toe en laat 3–4 min inkoken.</t>
  </si>
  <si>
    <t xml:space="preserve">Roer de uitgelekte linzen en kikkererwten erdoor; laat 5 min pruttelen.</t>
  </si>
  <si>
    <t xml:space="preserve">Giet de kokosmelk erbij, voeg de boerenkool toe en kook 2–3 min tot de kool zacht is.</t>
  </si>
  <si>
    <t xml:space="preserve">Breng op smaak met zout; maak af met citroen of koriander. Serveer zo of met rijst.</t>
  </si>
  <si>
    <t xml:space="preserve">Matcha Protein Overnight Oats</t>
  </si>
  <si>
    <t xml:space="preserve">Ontbijt · Focus / Pre-workout   —   460 kcal · 32g P · 48g C · 12g F · 8g vezels</t>
  </si>
  <si>
    <t xml:space="preserve">45 g</t>
  </si>
  <si>
    <t xml:space="preserve">Vanille-eiwitpoeder</t>
  </si>
  <si>
    <t xml:space="preserve">Matchapoeder</t>
  </si>
  <si>
    <t xml:space="preserve">2 g</t>
  </si>
  <si>
    <t xml:space="preserve">Chiazaad</t>
  </si>
  <si>
    <t xml:space="preserve">10 g</t>
  </si>
  <si>
    <t xml:space="preserve">Amandelmelk</t>
  </si>
  <si>
    <t xml:space="preserve">Klop in een pot de amandelmelk met het eiwitpoeder en de matcha glad.</t>
  </si>
  <si>
    <t xml:space="preserve">Roer de havermout en het chiazaad erdoor.</t>
  </si>
  <si>
    <t xml:space="preserve">Sluit af en zet een nacht in de koelkast (minimaal 4 uur).</t>
  </si>
  <si>
    <t xml:space="preserve">Roer 's ochtends door; verdun met een scheutje melk als het te dik is. Top met fruit naar wens.</t>
  </si>
  <si>
    <t xml:space="preserve">Zalm &amp; Quinoa Clean Bowl</t>
  </si>
  <si>
    <t xml:space="preserve">Diner · Clean label / Omega-3   —   580 kcal · 38g P · 45g C · 22g F · 7g vezels</t>
  </si>
  <si>
    <t xml:space="preserve">Quinoa (droog)</t>
  </si>
  <si>
    <t xml:space="preserve">60 g</t>
  </si>
  <si>
    <t xml:space="preserve">Zalmfilet</t>
  </si>
  <si>
    <t xml:space="preserve">125 g</t>
  </si>
  <si>
    <t xml:space="preserve">Broccoli (gestoomd)</t>
  </si>
  <si>
    <t xml:space="preserve">Edamameboontjes</t>
  </si>
  <si>
    <t xml:space="preserve">Olijfolie + citroen</t>
  </si>
  <si>
    <t xml:space="preserve">Spoel de quinoa en kook in dubbele hoeveelheid water 12–15 min tot gaar; laat afgedekt rusten.</t>
  </si>
  <si>
    <t xml:space="preserve">Breng de zalm op smaak en bak met de velkant naar beneden 3–4 min, draai dan 2 min (of oven 200°C ~12 min).</t>
  </si>
  <si>
    <t xml:space="preserve">Stoom de broccoli en edamame 4–5 min tot fris en net gaar.</t>
  </si>
  <si>
    <t xml:space="preserve">Klop de olijfolie met het citroensap, zout en peper.</t>
  </si>
  <si>
    <t xml:space="preserve">Bouw de bowl met quinoa, broccoli en edamame; verdeel de zalm erover en besprenkel met dressing.</t>
  </si>
  <si>
    <t xml:space="preserve">Tempeh &amp; Broccoli Stir-Fry</t>
  </si>
  <si>
    <t xml:space="preserve">Diner · Plantaardig / Darmflora   —   490 kcal · 28g P · 35g C · 21g F · 10g vezels</t>
  </si>
  <si>
    <t xml:space="preserve">Tempeh</t>
  </si>
  <si>
    <t xml:space="preserve">120 g</t>
  </si>
  <si>
    <t xml:space="preserve">Broccoliroosjes</t>
  </si>
  <si>
    <t xml:space="preserve">Paprika</t>
  </si>
  <si>
    <t xml:space="preserve">75 g</t>
  </si>
  <si>
    <t xml:space="preserve">Zilvervliesrijst (droog)</t>
  </si>
  <si>
    <t xml:space="preserve">Tamari, gember, knoflook</t>
  </si>
  <si>
    <t xml:space="preserve">Kook de zilvervliesrijst (ca. 25 min) en houd warm.</t>
  </si>
  <si>
    <t xml:space="preserve">Snijd de tempeh in blokjes en bak in een hete pan met wat olie goudbruin rondom.</t>
  </si>
  <si>
    <t xml:space="preserve">Voeg broccoli en paprika toe; roerbak 4–5 min, met een scheutje water om te stomen.</t>
  </si>
  <si>
    <t xml:space="preserve">Voeg geraspte gember en knoflook toe (30 sec), dan de tamari; schep om.</t>
  </si>
  <si>
    <t xml:space="preserve">Serveer over de rijst.</t>
  </si>
  <si>
    <t xml:space="preserve">Ashwagandha Herstel Shake</t>
  </si>
  <si>
    <t xml:space="preserve">Snack · Adaptogenen / Rust   —   340 kcal · 26g P · 28g C · 8g F · 6g vezels</t>
  </si>
  <si>
    <t xml:space="preserve">Bevroren banaan</t>
  </si>
  <si>
    <t xml:space="preserve">Eiwitpoeder</t>
  </si>
  <si>
    <t xml:space="preserve">250 ml</t>
  </si>
  <si>
    <t xml:space="preserve">Amandelpasta</t>
  </si>
  <si>
    <t xml:space="preserve">Ashwagandhapoeder</t>
  </si>
  <si>
    <t xml:space="preserve">3 g</t>
  </si>
  <si>
    <t xml:space="preserve">Doe alles in een blender.</t>
  </si>
  <si>
    <t xml:space="preserve">Mix 30–45 sec tot glad en dik.</t>
  </si>
  <si>
    <t xml:space="preserve">Verdun met wat melk of maak dikker met ijs naar smaak. Direct drinken.</t>
  </si>
  <si>
    <t xml:space="preserve">Hüttenkäse &amp; Avocado Toast</t>
  </si>
  <si>
    <t xml:space="preserve">Ontbijt · Snel eiwit / Gezonde vetten   —   390 kcal · 24g P · 30g C · 17g F · 8g vezels</t>
  </si>
  <si>
    <t xml:space="preserve">Volkoren-/zuurdesembrood</t>
  </si>
  <si>
    <t xml:space="preserve">70 g</t>
  </si>
  <si>
    <t xml:space="preserve">Hüttenkäse</t>
  </si>
  <si>
    <t xml:space="preserve">Avocado</t>
  </si>
  <si>
    <t xml:space="preserve">Chili, peper, zout</t>
  </si>
  <si>
    <t xml:space="preserve">naar smaak</t>
  </si>
  <si>
    <t xml:space="preserve">Rooster het brood naar wens.</t>
  </si>
  <si>
    <t xml:space="preserve">Smeer de hüttenkäse over het warme brood.</t>
  </si>
  <si>
    <t xml:space="preserve">Prak of snijd de avocado erop.</t>
  </si>
  <si>
    <t xml:space="preserve">Maak af met chilivlokken, zout en peper, en een kneepje citroen naar wens.</t>
  </si>
  <si>
    <t xml:space="preserve">Kip &amp; Zoete Aardappel Traybake</t>
  </si>
  <si>
    <t xml:space="preserve">Diner · Clean label / Duursport   —   540 kcal · 42g P · 52g C · 12g F · 8g vezels</t>
  </si>
  <si>
    <t xml:space="preserve">Kipfilet</t>
  </si>
  <si>
    <t xml:space="preserve">Zoete aardappel</t>
  </si>
  <si>
    <t xml:space="preserve">200 g</t>
  </si>
  <si>
    <t xml:space="preserve">Aspergepunten</t>
  </si>
  <si>
    <t xml:space="preserve">Olijfolie</t>
  </si>
  <si>
    <t xml:space="preserve">12 g</t>
  </si>
  <si>
    <t xml:space="preserve">Paprika, zout, rozemarijn</t>
  </si>
  <si>
    <t xml:space="preserve">Verwarm de oven op 200°C. Snijd de zoete aardappel in blokjes en meng met de helft van de olie, paprikapoeder en zout.</t>
  </si>
  <si>
    <t xml:space="preserve">Rooster de zoete aardappel 15 min op een bakplaat.</t>
  </si>
  <si>
    <t xml:space="preserve">Wrijf de kip in met de rest van de olie en de rozemarijn; leg op de plaat en rooster 15 min.</t>
  </si>
  <si>
    <t xml:space="preserve">Voeg de asperges toe en rooster nog 8–10 min, tot de kip 74°C is.</t>
  </si>
  <si>
    <t xml:space="preserve">Laat 3 min rusten en serveer.</t>
  </si>
  <si>
    <t xml:space="preserve">Chiapudding met Blauwe Bessen</t>
  </si>
  <si>
    <t xml:space="preserve">Snack · Fibermaxxing / Antioxidanten   —   310 kcal · 15g P · 22g C · 14g F · 11g vezels</t>
  </si>
  <si>
    <t xml:space="preserve">25 g</t>
  </si>
  <si>
    <t xml:space="preserve">Lupinemeel / eiwitpoeder</t>
  </si>
  <si>
    <t xml:space="preserve">Plantaardige melk</t>
  </si>
  <si>
    <t xml:space="preserve">Blauwe bessen</t>
  </si>
  <si>
    <t xml:space="preserve">Kaneel</t>
  </si>
  <si>
    <t xml:space="preserve">1 g</t>
  </si>
  <si>
    <t xml:space="preserve">Klop de plantaardige melk met het lupinemeel/eiwitpoeder en kaneel.</t>
  </si>
  <si>
    <t xml:space="preserve">Roer het chiazaad erdoor; wacht 5 min en roer opnieuw tegen klontjes.</t>
  </si>
  <si>
    <t xml:space="preserve">Zet 2 uur of een nacht in de koelkast tot het is opgesteven.</t>
  </si>
  <si>
    <t xml:space="preserve">Top met de blauwe bessen voor het serveren.</t>
  </si>
  <si>
    <t xml:space="preserve">Eiwitrijke Proteïne Pannenkoeken</t>
  </si>
  <si>
    <t xml:space="preserve">Ontbijt · Spierherstel / Klassieker   —   430 kcal · 35g P · 38g C · 9g F · 5g vezels</t>
  </si>
  <si>
    <t xml:space="preserve">Havermeel</t>
  </si>
  <si>
    <t xml:space="preserve">40 g</t>
  </si>
  <si>
    <t xml:space="preserve">Whey- of erwteneiwit</t>
  </si>
  <si>
    <t xml:space="preserve">Ei</t>
  </si>
  <si>
    <t xml:space="preserve">Magere melk</t>
  </si>
  <si>
    <t xml:space="preserve">100 ml</t>
  </si>
  <si>
    <t xml:space="preserve">Klop het havermeel, eiwitpoeder, ei en melk tot een glad beslag; laat 5 min rusten.</t>
  </si>
  <si>
    <t xml:space="preserve">Verwarm een anti-aanbakpan op middelhoog met wat spray-olie.</t>
  </si>
  <si>
    <t xml:space="preserve">Schep kleine pannenkoekjes; bak tot er belletjes komen (~1–2 min), draai om en bak 1 min verder.</t>
  </si>
  <si>
    <t xml:space="preserve">Stapel en top met fruit of yoghurt naar wens.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</si>
</sst>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&quot; kg&quot;"/>
    <numFmt numFmtId="166" formatCode="\+0.0&quot; kg&quot;;\-0.0&quot; kg&quot;;0.0&quot; kg&quot;"/>
    <numFmt numFmtId="167" formatCode="#,##0&quot; kcal&quot;"/>
    <numFmt numFmtId="168" formatCode="#,##0"/>
    <numFmt numFmtId="169" formatCode="0&quot; g&quot;"/>
    <numFmt numFmtId="170" formatCode="0.0"/>
    <numFmt numFmtId="171" formatCode="dd\-mm\-yyyy"/>
    <numFmt numFmtId="172" formatCode="\+0.0;\-0.0"/>
    <numFmt numFmtId="173" formatCode="General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b val="true"/>
      <sz val="18"/>
      <color rgb="FF0A0A0A"/>
      <name val="Arial"/>
      <family val="0"/>
      <charset val="1"/>
    </font>
    <font>
      <b val="true"/>
      <sz val="10"/>
      <color rgb="FF8C8C8C"/>
      <name val="Arial"/>
      <family val="0"/>
      <charset val="1"/>
    </font>
    <font>
      <b val="true"/>
      <sz val="9"/>
      <color rgb="FF8C8C8C"/>
      <name val="Arial"/>
      <family val="0"/>
      <charset val="1"/>
    </font>
    <font>
      <b val="true"/>
      <sz val="24"/>
      <color rgb="FF0A0A0A"/>
      <name val="Arial"/>
      <family val="0"/>
      <charset val="1"/>
    </font>
    <font>
      <b val="true"/>
      <sz val="24"/>
      <color rgb="FF1F9D55"/>
      <name val="Arial"/>
      <family val="0"/>
      <charset val="1"/>
    </font>
    <font>
      <b val="true"/>
      <sz val="16"/>
      <color rgb="FF1F9D55"/>
      <name val="Arial"/>
      <family val="0"/>
      <charset val="1"/>
    </font>
    <font>
      <b val="true"/>
      <sz val="11"/>
      <color rgb="FF0A0A0A"/>
      <name val="Arial"/>
      <family val="0"/>
      <charset val="1"/>
    </font>
    <font>
      <b val="true"/>
      <sz val="11"/>
      <color rgb="FFE8321E"/>
      <name val="Arial"/>
      <family val="0"/>
      <charset val="1"/>
    </font>
    <font>
      <b val="true"/>
      <sz val="12"/>
      <color rgb="FFE8321E"/>
      <name val="Arial"/>
      <family val="0"/>
      <charset val="1"/>
    </font>
    <font>
      <b val="true"/>
      <sz val="9"/>
      <color rgb="FFE8321E"/>
      <name val="Arial"/>
      <family val="0"/>
      <charset val="1"/>
    </font>
    <font>
      <sz val="11"/>
      <color rgb="FF0A0A0A"/>
      <name val="Arial"/>
      <family val="0"/>
      <charset val="1"/>
    </font>
    <font>
      <b val="true"/>
      <sz val="13"/>
      <color rgb="FF0A0A0A"/>
      <name val="Arial"/>
      <family val="0"/>
      <charset val="1"/>
    </font>
    <font>
      <sz val="10"/>
      <color rgb="FF444444"/>
      <name val="Arial"/>
      <family val="0"/>
      <charset val="1"/>
    </font>
    <font>
      <sz val="10"/>
      <color rgb="FF000000"/>
      <name val="Calibri"/>
      <family val="2"/>
    </font>
    <font>
      <b val="true"/>
      <sz val="15"/>
      <color rgb="FF0A0A0A"/>
      <name val="Arial"/>
      <family val="0"/>
      <charset val="1"/>
    </font>
    <font>
      <i val="true"/>
      <sz val="9"/>
      <color rgb="FF8C8C8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A0A0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9"/>
      <color rgb="FF8C8C8C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3"/>
      <color rgb="FFE8321E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8C8C8C"/>
      <name val="Arial"/>
      <family val="0"/>
      <charset val="1"/>
    </font>
    <font>
      <b val="true"/>
      <sz val="14"/>
      <color rgb="FF0A0A0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0"/>
      <color rgb="FF0A0A0A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8321E"/>
        <bgColor rgb="FFFF6600"/>
      </patternFill>
    </fill>
    <fill>
      <patternFill patternType="solid">
        <fgColor rgb="FFFAFAFA"/>
        <bgColor rgb="FFFBFBFB"/>
      </patternFill>
    </fill>
    <fill>
      <patternFill patternType="solid">
        <fgColor rgb="FFFFF0ED"/>
        <bgColor rgb="FFF6F6F6"/>
      </patternFill>
    </fill>
    <fill>
      <patternFill patternType="solid">
        <fgColor rgb="FFFBFBFB"/>
        <bgColor rgb="FFFAFAFA"/>
      </patternFill>
    </fill>
    <fill>
      <patternFill patternType="solid">
        <fgColor rgb="FF0A0A0A"/>
        <bgColor rgb="FF000000"/>
      </patternFill>
    </fill>
    <fill>
      <patternFill patternType="solid">
        <fgColor rgb="FFF6F6F6"/>
        <bgColor rgb="FFFAFAFA"/>
      </patternFill>
    </fill>
    <fill>
      <patternFill patternType="solid">
        <fgColor rgb="FFFFF4CC"/>
        <bgColor rgb="FFFFF0ED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ck">
        <color rgb="FFE8321E"/>
      </left>
      <right style="thin">
        <color rgb="FFE6E6E6"/>
      </right>
      <top style="thin">
        <color rgb="FFE6E6E6"/>
      </top>
      <bottom/>
      <diagonal/>
    </border>
    <border diagonalUp="false" diagonalDown="false">
      <left style="thick">
        <color rgb="FF1F9D55"/>
      </left>
      <right style="thin">
        <color rgb="FFE6E6E6"/>
      </right>
      <top style="thin">
        <color rgb="FFE6E6E6"/>
      </top>
      <bottom/>
      <diagonal/>
    </border>
    <border diagonalUp="false" diagonalDown="false">
      <left style="thick">
        <color rgb="FFE8321E"/>
      </left>
      <right style="thin">
        <color rgb="FFE6E6E6"/>
      </right>
      <top/>
      <bottom style="thin">
        <color rgb="FFE6E6E6"/>
      </bottom>
      <diagonal/>
    </border>
    <border diagonalUp="false" diagonalDown="false">
      <left style="thick">
        <color rgb="FF1F9D55"/>
      </left>
      <right style="thin">
        <color rgb="FFE6E6E6"/>
      </right>
      <top/>
      <bottom style="thin">
        <color rgb="FFE6E6E6"/>
      </bottom>
      <diagonal/>
    </border>
    <border diagonalUp="false" diagonalDown="false">
      <left style="thick">
        <color rgb="FFE8321E"/>
      </left>
      <right/>
      <top style="thin">
        <color rgb="FFE6E6E6"/>
      </top>
      <bottom style="thin">
        <color rgb="FFE6E6E6"/>
      </bottom>
      <diagonal/>
    </border>
    <border diagonalUp="false" diagonalDown="false"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 diagonalUp="false" diagonalDown="false">
      <left/>
      <right/>
      <top style="medium">
        <color rgb="FF0A0A0A"/>
      </top>
      <bottom/>
      <diagonal/>
    </border>
    <border diagonalUp="false" diagonalDown="false">
      <left style="thick">
        <color rgb="FF1F9D55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 diagonalUp="false" diagonalDown="false">
      <left style="thick">
        <color rgb="FFFF6A52"/>
      </left>
      <right style="thin">
        <color rgb="FFE6E6E6"/>
      </right>
      <top style="thin">
        <color rgb="FFE6E6E6"/>
      </top>
      <bottom/>
      <diagonal/>
    </border>
    <border diagonalUp="false" diagonalDown="false">
      <left style="thick">
        <color rgb="FFB9B9B9"/>
      </left>
      <right style="thin">
        <color rgb="FFE6E6E6"/>
      </right>
      <top style="thin">
        <color rgb="FFE6E6E6"/>
      </top>
      <bottom/>
      <diagonal/>
    </border>
    <border diagonalUp="false" diagonalDown="false">
      <left style="thick">
        <color rgb="FFFF6A52"/>
      </left>
      <right style="thin">
        <color rgb="FFE6E6E6"/>
      </right>
      <top/>
      <bottom style="thin">
        <color rgb="FFE6E6E6"/>
      </bottom>
      <diagonal/>
    </border>
    <border diagonalUp="false" diagonalDown="false">
      <left style="thick">
        <color rgb="FFB9B9B9"/>
      </left>
      <right style="thin">
        <color rgb="FFE6E6E6"/>
      </right>
      <top/>
      <bottom style="thin">
        <color rgb="FFE6E6E6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9" fillId="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8" fillId="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1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6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5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5" fillId="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5" fillId="3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5" fillId="3" borderId="1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7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7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8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8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2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4" fillId="6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35" fillId="3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3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832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B9B9"/>
      <rgbColor rgb="FF878787"/>
      <rgbColor rgb="FF9999FF"/>
      <rgbColor rgb="FF993366"/>
      <rgbColor rgb="FFFFF4CC"/>
      <rgbColor rgb="FFF6F6F6"/>
      <rgbColor rgb="FF660066"/>
      <rgbColor rgb="FFFF6A52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6E6"/>
      <rgbColor rgb="FFFAFAFA"/>
      <rgbColor rgb="FFFFF0ED"/>
      <rgbColor rgb="FF99CCFF"/>
      <rgbColor rgb="FFFF99CC"/>
      <rgbColor rgb="FFCC99FF"/>
      <rgbColor rgb="FFFBFBFB"/>
      <rgbColor rgb="FF3366FF"/>
      <rgbColor rgb="FF33CCCC"/>
      <rgbColor rgb="FF99CC00"/>
      <rgbColor rgb="FFFFCC00"/>
      <rgbColor rgb="FFFF9900"/>
      <rgbColor rgb="FFFF6600"/>
      <rgbColor rgb="FF666699"/>
      <rgbColor rgb="FF8C8C8C"/>
      <rgbColor rgb="FF003366"/>
      <rgbColor rgb="FF1F9D55"/>
      <rgbColor rgb="FF0A0A0A"/>
      <rgbColor rgb="FF444444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Gewicht!B3</c:f>
              <c:strCache>
                <c:ptCount val="1"/>
                <c:pt idx="0">
                  <c:v>Gewicht (kg)</c:v>
                </c:pt>
              </c:strCache>
            </c:strRef>
          </c:tx>
          <c:spPr>
            <a:solidFill>
              <a:srgbClr val="e8321e"/>
            </a:solidFill>
            <a:ln w="28080">
              <a:solidFill>
                <a:srgbClr val="e8321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Gewicht!$A$4:$A$30</c:f>
              <c:strCache>
                <c:ptCount val="27"/>
                <c:pt idx="0">
                  <c:v>06-09-2026</c:v>
                </c:pt>
                <c:pt idx="1">
                  <c:v>13-09-2026</c:v>
                </c:pt>
                <c:pt idx="2">
                  <c:v>20-09-2026</c:v>
                </c:pt>
                <c:pt idx="3">
                  <c:v>27-09-2026</c:v>
                </c:pt>
                <c:pt idx="4">
                  <c:v>04-10-2026</c:v>
                </c:pt>
                <c:pt idx="5">
                  <c:v>11-10-2026</c:v>
                </c:pt>
                <c:pt idx="6">
                  <c:v>18-10-2026</c:v>
                </c:pt>
                <c:pt idx="7">
                  <c:v>25-10-2026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</c:strCache>
            </c:strRef>
          </c:cat>
          <c:val>
            <c:numRef>
              <c:f>Gewicht!$B$4:$B$30</c:f>
              <c:numCache>
                <c:formatCode>0.0</c:formatCode>
                <c:ptCount val="27"/>
                <c:pt idx="0">
                  <c:v>88.6</c:v>
                </c:pt>
                <c:pt idx="1">
                  <c:v>88.2</c:v>
                </c:pt>
                <c:pt idx="2">
                  <c:v>88.4</c:v>
                </c:pt>
                <c:pt idx="3">
                  <c:v>87.9</c:v>
                </c:pt>
                <c:pt idx="4">
                  <c:v>87.6</c:v>
                </c:pt>
                <c:pt idx="5">
                  <c:v>87.7</c:v>
                </c:pt>
                <c:pt idx="6">
                  <c:v>87.2</c:v>
                </c:pt>
                <c:pt idx="7">
                  <c:v>87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9874119"/>
        <c:axId val="24448832"/>
      </c:lineChart>
      <c:catAx>
        <c:axId val="19874119"/>
        <c:scaling>
          <c:orientation val="minMax"/>
        </c:scaling>
        <c:delete val="0"/>
        <c:axPos val="b"/>
        <c:numFmt formatCode="dd\-mm\-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448832"/>
        <c:crosses val="autoZero"/>
        <c:auto val="1"/>
        <c:lblAlgn val="ctr"/>
        <c:lblOffset val="100"/>
        <c:noMultiLvlLbl val="0"/>
      </c:catAx>
      <c:valAx>
        <c:axId val="24448832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8741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6</xdr:col>
      <xdr:colOff>77400</xdr:colOff>
      <xdr:row>14</xdr:row>
      <xdr:rowOff>97200</xdr:rowOff>
    </xdr:to>
    <xdr:graphicFrame>
      <xdr:nvGraphicFramePr>
        <xdr:cNvPr id="0" name="Chart 1"/>
        <xdr:cNvGraphicFramePr/>
      </xdr:nvGraphicFramePr>
      <xdr:xfrm>
        <a:off x="0" y="1743120"/>
        <a:ext cx="4138920" cy="1906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321E"/>
    <pageSetUpPr fitToPage="false"/>
  </sheetPr>
  <dimension ref="A1:N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1" width="9.6"/>
    <col collapsed="false" customWidth="true" hidden="true" outlineLevel="0" max="14" min="14" style="1" width="13"/>
  </cols>
  <sheetData>
    <row r="1" customFormat="false" ht="21.75" hidden="false" customHeight="true" outlineLevel="0" collapsed="false">
      <c r="A1" s="2" t="s">
        <v>0</v>
      </c>
      <c r="B1" s="3" t="s">
        <v>1</v>
      </c>
      <c r="C1" s="3"/>
      <c r="D1" s="3"/>
      <c r="E1" s="3"/>
      <c r="F1" s="3"/>
      <c r="I1" s="4" t="s">
        <v>2</v>
      </c>
      <c r="J1" s="4"/>
      <c r="K1" s="4"/>
      <c r="L1" s="4"/>
      <c r="N1" s="1" t="n">
        <f aca="false">IFERROR(LOOKUP(2,1/(Gewicht!$B$4:$B$30&lt;&gt;""),Gewicht!$B$4:$B$30),"")</f>
        <v>87</v>
      </c>
    </row>
    <row r="2" customFormat="false" ht="19.5" hidden="false" customHeight="true" outlineLevel="0" collapsed="false">
      <c r="A2" s="2"/>
      <c r="B2" s="2"/>
      <c r="C2" s="3"/>
      <c r="D2" s="3"/>
      <c r="E2" s="3"/>
      <c r="F2" s="3"/>
      <c r="I2" s="4"/>
      <c r="J2" s="4"/>
      <c r="K2" s="4"/>
      <c r="L2" s="4"/>
      <c r="N2" s="1" t="n">
        <f aca="false">IFERROR(LOOKUP(2,1/(Gewicht!$C$4:$C$30&lt;&gt;""),Gewicht!$C$4:$C$30),"")</f>
        <v>-0.200000000000003</v>
      </c>
    </row>
    <row r="3" customFormat="false" ht="15" hidden="false" customHeight="true" outlineLevel="0" collapsed="false">
      <c r="N3" s="1" t="n">
        <f aca="false">IF(AND(N1&lt;&gt;"",N2&lt;&gt;""),N2/N1,"")</f>
        <v>-0.00229885057471268</v>
      </c>
    </row>
    <row r="4" customFormat="false" ht="19.5" hidden="false" customHeight="true" outlineLevel="0" collapsed="false">
      <c r="A4" s="5" t="s">
        <v>3</v>
      </c>
      <c r="B4" s="5"/>
      <c r="C4" s="5"/>
      <c r="D4" s="6" t="s">
        <v>4</v>
      </c>
      <c r="E4" s="6"/>
      <c r="F4" s="6"/>
      <c r="G4" s="6" t="s">
        <v>5</v>
      </c>
      <c r="H4" s="6"/>
      <c r="I4" s="6"/>
      <c r="J4" s="5" t="s">
        <v>6</v>
      </c>
      <c r="K4" s="5"/>
      <c r="L4" s="5"/>
    </row>
    <row r="5" customFormat="false" ht="19.5" hidden="false" customHeight="true" outlineLevel="0" collapsed="false">
      <c r="A5" s="7" t="n">
        <f aca="false">N1</f>
        <v>87</v>
      </c>
      <c r="B5" s="7"/>
      <c r="C5" s="7"/>
      <c r="D5" s="8" t="n">
        <f aca="false">N2</f>
        <v>-0.200000000000003</v>
      </c>
      <c r="E5" s="8"/>
      <c r="F5" s="8"/>
      <c r="G5" s="9" t="str">
        <f aca="false">IF(N3="","",IF(N3&lt;-0.01,"! Te snel",IF(N3&lt;-0.003,"✓ Op koers",IF(N3&lt;=0.003,"– Stabiel",IF(N3&lt;=0.01,"✓ Op koers","! Te snel")))))</f>
        <v>– Stabiel</v>
      </c>
      <c r="H5" s="9"/>
      <c r="I5" s="9"/>
      <c r="J5" s="10" t="n">
        <f aca="false">SUMIFS(Weekplan!$E$4:$E$31,Weekplan!$A$4:$A$31,$K$8)</f>
        <v>2220</v>
      </c>
      <c r="K5" s="10"/>
      <c r="L5" s="10"/>
    </row>
    <row r="6" customFormat="false" ht="19.5" hidden="false" customHeight="true" outlineLevel="0" collapsed="false">
      <c r="A6" s="7"/>
      <c r="B6" s="7"/>
      <c r="C6" s="7"/>
      <c r="D6" s="8"/>
      <c r="E6" s="8"/>
      <c r="F6" s="8"/>
      <c r="G6" s="9"/>
      <c r="H6" s="9"/>
      <c r="I6" s="9"/>
      <c r="J6" s="10"/>
      <c r="K6" s="10"/>
      <c r="L6" s="10"/>
    </row>
    <row r="7" customFormat="false" ht="7.5" hidden="false" customHeight="true" outlineLevel="0" collapsed="false"/>
    <row r="8" customFormat="false" ht="15" hidden="false" customHeight="true" outlineLevel="0" collapsed="false">
      <c r="A8" s="11" t="s">
        <v>7</v>
      </c>
      <c r="B8" s="11"/>
      <c r="C8" s="11"/>
      <c r="D8" s="11"/>
      <c r="E8" s="11"/>
      <c r="F8" s="11"/>
      <c r="G8" s="12" t="s">
        <v>8</v>
      </c>
      <c r="H8" s="12"/>
      <c r="I8" s="12"/>
      <c r="J8" s="12"/>
      <c r="K8" s="13" t="s">
        <v>9</v>
      </c>
      <c r="L8" s="13"/>
    </row>
    <row r="9" customFormat="false" ht="27.75" hidden="false" customHeight="true" outlineLevel="0" collapsed="false">
      <c r="G9" s="14"/>
      <c r="H9" s="15" t="s">
        <v>10</v>
      </c>
      <c r="I9" s="16" t="str">
        <f aca="false">IFERROR(INDEX(Weekplan!$C$4:$C$31,MATCH($K$8&amp;"|"&amp;"Ontbijt",Weekplan!$I$4:$I$31,0)),"")</f>
        <v>Hartige havermout met ei</v>
      </c>
      <c r="J9" s="16"/>
      <c r="K9" s="16"/>
      <c r="L9" s="17" t="n">
        <f aca="false">IFERROR(INDEX(Weekplan!$E$4:$E$31,MATCH($K$8&amp;"|"&amp;"Ontbijt",Weekplan!$I$4:$I$31,0)),"")</f>
        <v>640</v>
      </c>
    </row>
    <row r="10" customFormat="false" ht="27.75" hidden="false" customHeight="true" outlineLevel="0" collapsed="false">
      <c r="G10" s="14"/>
      <c r="H10" s="15" t="s">
        <v>11</v>
      </c>
      <c r="I10" s="16" t="str">
        <f aca="false">IFERROR(INDEX(Weekplan!$C$4:$C$31,MATCH($K$8&amp;"|"&amp;"Lunch",Weekplan!$I$4:$I$31,0)),"")</f>
        <v>Kip &amp; rijst bowl</v>
      </c>
      <c r="J10" s="16"/>
      <c r="K10" s="16"/>
      <c r="L10" s="17" t="n">
        <f aca="false">IFERROR(INDEX(Weekplan!$E$4:$E$31,MATCH($K$8&amp;"|"&amp;"Lunch",Weekplan!$I$4:$I$31,0)),"")</f>
        <v>560</v>
      </c>
    </row>
    <row r="11" customFormat="false" ht="27.75" hidden="false" customHeight="true" outlineLevel="0" collapsed="false">
      <c r="G11" s="14"/>
      <c r="H11" s="15" t="s">
        <v>12</v>
      </c>
      <c r="I11" s="16" t="str">
        <f aca="false">IFERROR(INDEX(Weekplan!$C$4:$C$31,MATCH($K$8&amp;"|"&amp;"Diner",Weekplan!$I$4:$I$31,0)),"")</f>
        <v>Mager gehakt met pasta</v>
      </c>
      <c r="J11" s="16"/>
      <c r="K11" s="16"/>
      <c r="L11" s="17" t="n">
        <f aca="false">IFERROR(INDEX(Weekplan!$E$4:$E$31,MATCH($K$8&amp;"|"&amp;"Diner",Weekplan!$I$4:$I$31,0)),"")</f>
        <v>720</v>
      </c>
    </row>
    <row r="12" customFormat="false" ht="27.75" hidden="false" customHeight="true" outlineLevel="0" collapsed="false">
      <c r="G12" s="14"/>
      <c r="H12" s="15" t="s">
        <v>13</v>
      </c>
      <c r="I12" s="16" t="str">
        <f aca="false">IFERROR(INDEX(Weekplan!$C$4:$C$31,MATCH($K$8&amp;"|"&amp;"Snack",Weekplan!$I$4:$I$31,0)),"")</f>
        <v>Kwark met noten</v>
      </c>
      <c r="J12" s="16"/>
      <c r="K12" s="16"/>
      <c r="L12" s="17" t="n">
        <f aca="false">IFERROR(INDEX(Weekplan!$E$4:$E$31,MATCH($K$8&amp;"|"&amp;"Snack",Weekplan!$I$4:$I$31,0)),"")</f>
        <v>300</v>
      </c>
    </row>
    <row r="13" customFormat="false" ht="21.75" hidden="false" customHeight="true" outlineLevel="0" collapsed="false">
      <c r="G13" s="18" t="s">
        <v>14</v>
      </c>
      <c r="H13" s="18"/>
      <c r="I13" s="18"/>
      <c r="J13" s="19" t="n">
        <f aca="false">SUMIFS(Weekplan!$E$4:$E$31,Weekplan!$A$4:$A$31,$K$8)</f>
        <v>2220</v>
      </c>
      <c r="K13" s="19"/>
      <c r="L13" s="19"/>
    </row>
    <row r="14" customFormat="false" ht="9.75" hidden="false" customHeight="true" outlineLevel="0" collapsed="false"/>
    <row r="15" customFormat="false" ht="9.75" hidden="false" customHeight="true" outlineLevel="0" collapsed="false"/>
    <row r="16" customFormat="false" ht="30" hidden="false" customHeight="true" outlineLevel="0" collapsed="false">
      <c r="A16" s="20" t="str">
        <f aca="false">IF(N3="","Verantwoord tempo — ~0,5–1% per week. Zo behoud je spier en herstel.",IF(OR(N3&lt;-0.01,N3&gt;0.01),"Je verandert sneller dan 1% per week. Stel je calorieën iets bij.",IF(N3&gt;-0.003,"Weinig verandering. Geduld, of stel je calorieën iets bij.","Verantwoord tempo — ~0,5–1% per week. Zo behoud je spier en herstel.")))</f>
        <v>Weinig verandering. Geduld, of stel je calorieën iets bij.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</row>
    <row r="17" customFormat="false" ht="7.5" hidden="false" customHeight="true" outlineLevel="0" collapsed="false"/>
    <row r="18" customFormat="false" ht="15" hidden="false" customHeight="true" outlineLevel="0" collapsed="false">
      <c r="A18" s="11" t="s">
        <v>15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customFormat="false" ht="18" hidden="false" customHeight="true" outlineLevel="0" collapsed="false">
      <c r="A19" s="5" t="s">
        <v>16</v>
      </c>
      <c r="B19" s="5"/>
      <c r="C19" s="5"/>
      <c r="D19" s="5"/>
      <c r="E19" s="21" t="s">
        <v>17</v>
      </c>
      <c r="F19" s="21"/>
      <c r="G19" s="21"/>
      <c r="H19" s="21"/>
      <c r="I19" s="22" t="s">
        <v>18</v>
      </c>
      <c r="J19" s="22"/>
      <c r="K19" s="22"/>
      <c r="L19" s="22"/>
    </row>
    <row r="20" customFormat="false" ht="25.5" hidden="false" customHeight="true" outlineLevel="0" collapsed="false">
      <c r="A20" s="23" t="n">
        <f aca="false">SUMIFS(Weekplan!$F$4:$F$31,Weekplan!$A$4:$A$31,$K$8)</f>
        <v>148</v>
      </c>
      <c r="B20" s="23"/>
      <c r="C20" s="23"/>
      <c r="D20" s="23"/>
      <c r="E20" s="24" t="n">
        <f aca="false">SUMIFS(Weekplan!$G$4:$G$31,Weekplan!$A$4:$A$31,$K$8)</f>
        <v>239</v>
      </c>
      <c r="F20" s="24"/>
      <c r="G20" s="24"/>
      <c r="H20" s="24"/>
      <c r="I20" s="25" t="n">
        <f aca="false">SUMIFS(Weekplan!$H$4:$H$31,Weekplan!$A$4:$A$31,$K$8)</f>
        <v>60</v>
      </c>
      <c r="J20" s="25"/>
      <c r="K20" s="25"/>
      <c r="L20" s="25"/>
    </row>
  </sheetData>
  <mergeCells count="28">
    <mergeCell ref="A1:A2"/>
    <mergeCell ref="B1:F2"/>
    <mergeCell ref="I1:L2"/>
    <mergeCell ref="A4:C4"/>
    <mergeCell ref="D4:F4"/>
    <mergeCell ref="G4:I4"/>
    <mergeCell ref="J4:L4"/>
    <mergeCell ref="A5:C6"/>
    <mergeCell ref="D5:F6"/>
    <mergeCell ref="G5:I6"/>
    <mergeCell ref="J5:L6"/>
    <mergeCell ref="A8:F8"/>
    <mergeCell ref="G8:J8"/>
    <mergeCell ref="K8:L8"/>
    <mergeCell ref="I9:K9"/>
    <mergeCell ref="I10:K10"/>
    <mergeCell ref="I11:K11"/>
    <mergeCell ref="I12:K12"/>
    <mergeCell ref="G13:I13"/>
    <mergeCell ref="J13:L13"/>
    <mergeCell ref="A16:L16"/>
    <mergeCell ref="A18:L18"/>
    <mergeCell ref="A19:D19"/>
    <mergeCell ref="E19:H19"/>
    <mergeCell ref="I19:L19"/>
    <mergeCell ref="A20:D20"/>
    <mergeCell ref="E20:H20"/>
    <mergeCell ref="I20:L20"/>
  </mergeCells>
  <dataValidations count="2">
    <dataValidation allowBlank="false" errorStyle="stop" operator="between" showDropDown="false" showErrorMessage="false" showInputMessage="false" sqref="K8" type="list">
      <formula1>"Ma,Di,Wo,Do,Vr,Za,Zo"</formula1>
      <formula2>0</formula2>
    </dataValidation>
    <dataValidation allowBlank="true" errorStyle="stop" operator="between" showDropDown="false" showErrorMessage="false" showInputMessage="false" sqref="G9:G12" type="list">
      <formula1>"✓,—"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D9D9"/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3" min="3" style="1" width="30"/>
    <col collapsed="false" customWidth="true" hidden="false" outlineLevel="0" max="4" min="4" style="1" width="40"/>
    <col collapsed="false" customWidth="true" hidden="false" outlineLevel="0" max="5" min="5" style="1" width="7"/>
    <col collapsed="false" customWidth="true" hidden="false" outlineLevel="0" max="7" min="6" style="1" width="9"/>
    <col collapsed="false" customWidth="true" hidden="false" outlineLevel="0" max="8" min="8" style="1" width="8"/>
    <col collapsed="false" customWidth="true" hidden="true" outlineLevel="0" max="9" min="9" style="1" width="14"/>
  </cols>
  <sheetData>
    <row r="1" customFormat="false" ht="18" hidden="false" customHeight="true" outlineLevel="0" collapsed="false">
      <c r="A1" s="26" t="s">
        <v>19</v>
      </c>
      <c r="B1" s="26"/>
      <c r="C1" s="26"/>
      <c r="D1" s="26"/>
      <c r="E1" s="26"/>
      <c r="F1" s="26"/>
      <c r="G1" s="26"/>
      <c r="H1" s="26"/>
    </row>
    <row r="2" customFormat="false" ht="15" hidden="false" customHeight="true" outlineLevel="0" collapsed="false">
      <c r="A2" s="27" t="s">
        <v>20</v>
      </c>
      <c r="B2" s="27"/>
      <c r="C2" s="27"/>
      <c r="D2" s="27"/>
      <c r="E2" s="27"/>
      <c r="F2" s="27"/>
      <c r="G2" s="27"/>
      <c r="H2" s="27"/>
    </row>
    <row r="3" customFormat="false" ht="15" hidden="false" customHeight="true" outlineLevel="0" collapsed="false">
      <c r="A3" s="28" t="s">
        <v>21</v>
      </c>
      <c r="B3" s="28" t="s">
        <v>22</v>
      </c>
      <c r="C3" s="28" t="s">
        <v>23</v>
      </c>
      <c r="D3" s="28" t="s">
        <v>24</v>
      </c>
      <c r="E3" s="28" t="s">
        <v>25</v>
      </c>
      <c r="F3" s="28" t="s">
        <v>26</v>
      </c>
      <c r="G3" s="28" t="s">
        <v>27</v>
      </c>
      <c r="H3" s="28" t="s">
        <v>28</v>
      </c>
      <c r="I3" s="1" t="s">
        <v>29</v>
      </c>
    </row>
    <row r="4" customFormat="false" ht="15" hidden="false" customHeight="true" outlineLevel="0" collapsed="false">
      <c r="A4" s="29" t="s">
        <v>9</v>
      </c>
      <c r="B4" s="29" t="s">
        <v>10</v>
      </c>
      <c r="C4" s="29" t="s">
        <v>30</v>
      </c>
      <c r="D4" s="29" t="s">
        <v>31</v>
      </c>
      <c r="E4" s="30" t="n">
        <v>640</v>
      </c>
      <c r="F4" s="30" t="n">
        <v>30</v>
      </c>
      <c r="G4" s="30" t="n">
        <v>82</v>
      </c>
      <c r="H4" s="30" t="n">
        <v>18</v>
      </c>
      <c r="I4" s="1" t="str">
        <f aca="false">$A4&amp;"|"&amp;$B4</f>
        <v>Ma|Ontbijt</v>
      </c>
    </row>
    <row r="5" customFormat="false" ht="15" hidden="false" customHeight="true" outlineLevel="0" collapsed="false">
      <c r="A5" s="29" t="s">
        <v>9</v>
      </c>
      <c r="B5" s="29" t="s">
        <v>11</v>
      </c>
      <c r="C5" s="29" t="s">
        <v>32</v>
      </c>
      <c r="D5" s="29" t="s">
        <v>33</v>
      </c>
      <c r="E5" s="30" t="n">
        <v>560</v>
      </c>
      <c r="F5" s="30" t="n">
        <v>48</v>
      </c>
      <c r="G5" s="30" t="n">
        <v>55</v>
      </c>
      <c r="H5" s="30" t="n">
        <v>12</v>
      </c>
      <c r="I5" s="1" t="str">
        <f aca="false">$A5&amp;"|"&amp;$B5</f>
        <v>Ma|Lunch</v>
      </c>
    </row>
    <row r="6" customFormat="false" ht="15" hidden="false" customHeight="true" outlineLevel="0" collapsed="false">
      <c r="A6" s="29" t="s">
        <v>9</v>
      </c>
      <c r="B6" s="29" t="s">
        <v>12</v>
      </c>
      <c r="C6" s="29" t="s">
        <v>34</v>
      </c>
      <c r="D6" s="29" t="s">
        <v>35</v>
      </c>
      <c r="E6" s="30" t="n">
        <v>720</v>
      </c>
      <c r="F6" s="30" t="n">
        <v>42</v>
      </c>
      <c r="G6" s="30" t="n">
        <v>92</v>
      </c>
      <c r="H6" s="30" t="n">
        <v>16</v>
      </c>
      <c r="I6" s="1" t="str">
        <f aca="false">$A6&amp;"|"&amp;$B6</f>
        <v>Ma|Diner</v>
      </c>
    </row>
    <row r="7" customFormat="false" ht="15" hidden="false" customHeight="true" outlineLevel="0" collapsed="false">
      <c r="A7" s="29" t="s">
        <v>9</v>
      </c>
      <c r="B7" s="29" t="s">
        <v>13</v>
      </c>
      <c r="C7" s="29" t="s">
        <v>36</v>
      </c>
      <c r="D7" s="29" t="s">
        <v>37</v>
      </c>
      <c r="E7" s="30" t="n">
        <v>300</v>
      </c>
      <c r="F7" s="30" t="n">
        <v>28</v>
      </c>
      <c r="G7" s="30" t="n">
        <v>10</v>
      </c>
      <c r="H7" s="30" t="n">
        <v>14</v>
      </c>
      <c r="I7" s="1" t="str">
        <f aca="false">$A7&amp;"|"&amp;$B7</f>
        <v>Ma|Snack</v>
      </c>
    </row>
    <row r="8" customFormat="false" ht="15" hidden="false" customHeight="true" outlineLevel="0" collapsed="false">
      <c r="A8" s="31" t="s">
        <v>38</v>
      </c>
      <c r="B8" s="31" t="s">
        <v>10</v>
      </c>
      <c r="C8" s="31" t="s">
        <v>39</v>
      </c>
      <c r="D8" s="31" t="s">
        <v>40</v>
      </c>
      <c r="E8" s="32" t="n">
        <v>430</v>
      </c>
      <c r="F8" s="32" t="n">
        <v>42</v>
      </c>
      <c r="G8" s="32" t="n">
        <v>45</v>
      </c>
      <c r="H8" s="32" t="n">
        <v>6</v>
      </c>
      <c r="I8" s="1" t="str">
        <f aca="false">$A8&amp;"|"&amp;$B8</f>
        <v>Di|Ontbijt</v>
      </c>
    </row>
    <row r="9" customFormat="false" ht="15" hidden="false" customHeight="true" outlineLevel="0" collapsed="false">
      <c r="A9" s="31" t="s">
        <v>38</v>
      </c>
      <c r="B9" s="31" t="s">
        <v>11</v>
      </c>
      <c r="C9" s="31" t="s">
        <v>41</v>
      </c>
      <c r="D9" s="31" t="s">
        <v>42</v>
      </c>
      <c r="E9" s="32" t="n">
        <v>470</v>
      </c>
      <c r="F9" s="32" t="n">
        <v>38</v>
      </c>
      <c r="G9" s="32" t="n">
        <v>48</v>
      </c>
      <c r="H9" s="32" t="n">
        <v>10</v>
      </c>
      <c r="I9" s="1" t="str">
        <f aca="false">$A9&amp;"|"&amp;$B9</f>
        <v>Di|Lunch</v>
      </c>
    </row>
    <row r="10" customFormat="false" ht="15" hidden="false" customHeight="true" outlineLevel="0" collapsed="false">
      <c r="A10" s="31" t="s">
        <v>38</v>
      </c>
      <c r="B10" s="31" t="s">
        <v>12</v>
      </c>
      <c r="C10" s="31" t="s">
        <v>43</v>
      </c>
      <c r="D10" s="31" t="s">
        <v>44</v>
      </c>
      <c r="E10" s="32" t="n">
        <v>640</v>
      </c>
      <c r="F10" s="32" t="n">
        <v>40</v>
      </c>
      <c r="G10" s="32" t="n">
        <v>45</v>
      </c>
      <c r="H10" s="32" t="n">
        <v>26</v>
      </c>
      <c r="I10" s="1" t="str">
        <f aca="false">$A10&amp;"|"&amp;$B10</f>
        <v>Di|Diner</v>
      </c>
    </row>
    <row r="11" customFormat="false" ht="15" hidden="false" customHeight="true" outlineLevel="0" collapsed="false">
      <c r="A11" s="31" t="s">
        <v>38</v>
      </c>
      <c r="B11" s="31" t="s">
        <v>13</v>
      </c>
      <c r="C11" s="31" t="s">
        <v>45</v>
      </c>
      <c r="D11" s="31" t="s">
        <v>46</v>
      </c>
      <c r="E11" s="32" t="n">
        <v>280</v>
      </c>
      <c r="F11" s="32" t="n">
        <v>20</v>
      </c>
      <c r="G11" s="32" t="n">
        <v>32</v>
      </c>
      <c r="H11" s="32" t="n">
        <v>7</v>
      </c>
      <c r="I11" s="1" t="str">
        <f aca="false">$A11&amp;"|"&amp;$B11</f>
        <v>Di|Snack</v>
      </c>
    </row>
    <row r="12" customFormat="false" ht="15" hidden="false" customHeight="true" outlineLevel="0" collapsed="false">
      <c r="A12" s="29" t="s">
        <v>47</v>
      </c>
      <c r="B12" s="29" t="s">
        <v>10</v>
      </c>
      <c r="C12" s="29" t="s">
        <v>48</v>
      </c>
      <c r="D12" s="29" t="s">
        <v>49</v>
      </c>
      <c r="E12" s="30" t="n">
        <v>600</v>
      </c>
      <c r="F12" s="30" t="n">
        <v>38</v>
      </c>
      <c r="G12" s="30" t="n">
        <v>76</v>
      </c>
      <c r="H12" s="30" t="n">
        <v>10</v>
      </c>
      <c r="I12" s="1" t="str">
        <f aca="false">$A12&amp;"|"&amp;$B12</f>
        <v>Wo|Ontbijt</v>
      </c>
    </row>
    <row r="13" customFormat="false" ht="15" hidden="false" customHeight="true" outlineLevel="0" collapsed="false">
      <c r="A13" s="29" t="s">
        <v>47</v>
      </c>
      <c r="B13" s="29" t="s">
        <v>11</v>
      </c>
      <c r="C13" s="29" t="s">
        <v>50</v>
      </c>
      <c r="D13" s="29" t="s">
        <v>51</v>
      </c>
      <c r="E13" s="30" t="n">
        <v>600</v>
      </c>
      <c r="F13" s="30" t="n">
        <v>45</v>
      </c>
      <c r="G13" s="30" t="n">
        <v>22</v>
      </c>
      <c r="H13" s="30" t="n">
        <v>30</v>
      </c>
      <c r="I13" s="1" t="str">
        <f aca="false">$A13&amp;"|"&amp;$B13</f>
        <v>Wo|Lunch</v>
      </c>
    </row>
    <row r="14" customFormat="false" ht="15" hidden="false" customHeight="true" outlineLevel="0" collapsed="false">
      <c r="A14" s="29" t="s">
        <v>47</v>
      </c>
      <c r="B14" s="29" t="s">
        <v>12</v>
      </c>
      <c r="C14" s="29" t="s">
        <v>52</v>
      </c>
      <c r="D14" s="29" t="s">
        <v>53</v>
      </c>
      <c r="E14" s="30" t="n">
        <v>740</v>
      </c>
      <c r="F14" s="30" t="n">
        <v>50</v>
      </c>
      <c r="G14" s="30" t="n">
        <v>88</v>
      </c>
      <c r="H14" s="30" t="n">
        <v>14</v>
      </c>
      <c r="I14" s="1" t="str">
        <f aca="false">$A14&amp;"|"&amp;$B14</f>
        <v>Wo|Diner</v>
      </c>
    </row>
    <row r="15" customFormat="false" ht="15" hidden="false" customHeight="true" outlineLevel="0" collapsed="false">
      <c r="A15" s="29" t="s">
        <v>47</v>
      </c>
      <c r="B15" s="29" t="s">
        <v>13</v>
      </c>
      <c r="C15" s="29" t="s">
        <v>54</v>
      </c>
      <c r="D15" s="29" t="s">
        <v>55</v>
      </c>
      <c r="E15" s="30" t="n">
        <v>240</v>
      </c>
      <c r="F15" s="30" t="n">
        <v>22</v>
      </c>
      <c r="G15" s="30" t="n">
        <v>24</v>
      </c>
      <c r="H15" s="30" t="n">
        <v>2</v>
      </c>
      <c r="I15" s="1" t="str">
        <f aca="false">$A15&amp;"|"&amp;$B15</f>
        <v>Wo|Snack</v>
      </c>
    </row>
    <row r="16" customFormat="false" ht="15" hidden="false" customHeight="true" outlineLevel="0" collapsed="false">
      <c r="A16" s="31" t="s">
        <v>56</v>
      </c>
      <c r="B16" s="31" t="s">
        <v>10</v>
      </c>
      <c r="C16" s="31" t="s">
        <v>30</v>
      </c>
      <c r="D16" s="31" t="s">
        <v>31</v>
      </c>
      <c r="E16" s="32" t="n">
        <v>520</v>
      </c>
      <c r="F16" s="32" t="n">
        <v>30</v>
      </c>
      <c r="G16" s="32" t="n">
        <v>52</v>
      </c>
      <c r="H16" s="32" t="n">
        <v>18</v>
      </c>
      <c r="I16" s="1" t="str">
        <f aca="false">$A16&amp;"|"&amp;$B16</f>
        <v>Do|Ontbijt</v>
      </c>
    </row>
    <row r="17" customFormat="false" ht="15" hidden="false" customHeight="true" outlineLevel="0" collapsed="false">
      <c r="A17" s="31" t="s">
        <v>56</v>
      </c>
      <c r="B17" s="31" t="s">
        <v>11</v>
      </c>
      <c r="C17" s="31" t="s">
        <v>32</v>
      </c>
      <c r="D17" s="31" t="s">
        <v>33</v>
      </c>
      <c r="E17" s="32" t="n">
        <v>560</v>
      </c>
      <c r="F17" s="32" t="n">
        <v>48</v>
      </c>
      <c r="G17" s="32" t="n">
        <v>55</v>
      </c>
      <c r="H17" s="32" t="n">
        <v>12</v>
      </c>
      <c r="I17" s="1" t="str">
        <f aca="false">$A17&amp;"|"&amp;$B17</f>
        <v>Do|Lunch</v>
      </c>
    </row>
    <row r="18" customFormat="false" ht="15" hidden="false" customHeight="true" outlineLevel="0" collapsed="false">
      <c r="A18" s="31" t="s">
        <v>56</v>
      </c>
      <c r="B18" s="31" t="s">
        <v>12</v>
      </c>
      <c r="C18" s="31" t="s">
        <v>34</v>
      </c>
      <c r="D18" s="31" t="s">
        <v>35</v>
      </c>
      <c r="E18" s="32" t="n">
        <v>600</v>
      </c>
      <c r="F18" s="32" t="n">
        <v>42</v>
      </c>
      <c r="G18" s="32" t="n">
        <v>62</v>
      </c>
      <c r="H18" s="32" t="n">
        <v>16</v>
      </c>
      <c r="I18" s="1" t="str">
        <f aca="false">$A18&amp;"|"&amp;$B18</f>
        <v>Do|Diner</v>
      </c>
    </row>
    <row r="19" customFormat="false" ht="15" hidden="false" customHeight="true" outlineLevel="0" collapsed="false">
      <c r="A19" s="31" t="s">
        <v>56</v>
      </c>
      <c r="B19" s="31" t="s">
        <v>13</v>
      </c>
      <c r="C19" s="31" t="s">
        <v>36</v>
      </c>
      <c r="D19" s="31" t="s">
        <v>37</v>
      </c>
      <c r="E19" s="32" t="n">
        <v>300</v>
      </c>
      <c r="F19" s="32" t="n">
        <v>28</v>
      </c>
      <c r="G19" s="32" t="n">
        <v>10</v>
      </c>
      <c r="H19" s="32" t="n">
        <v>14</v>
      </c>
      <c r="I19" s="1" t="str">
        <f aca="false">$A19&amp;"|"&amp;$B19</f>
        <v>Do|Snack</v>
      </c>
    </row>
    <row r="20" customFormat="false" ht="15" hidden="false" customHeight="true" outlineLevel="0" collapsed="false">
      <c r="A20" s="29" t="s">
        <v>57</v>
      </c>
      <c r="B20" s="29" t="s">
        <v>10</v>
      </c>
      <c r="C20" s="29" t="s">
        <v>39</v>
      </c>
      <c r="D20" s="29" t="s">
        <v>40</v>
      </c>
      <c r="E20" s="30" t="n">
        <v>550</v>
      </c>
      <c r="F20" s="30" t="n">
        <v>42</v>
      </c>
      <c r="G20" s="30" t="n">
        <v>75</v>
      </c>
      <c r="H20" s="30" t="n">
        <v>6</v>
      </c>
      <c r="I20" s="1" t="str">
        <f aca="false">$A20&amp;"|"&amp;$B20</f>
        <v>Vr|Ontbijt</v>
      </c>
    </row>
    <row r="21" customFormat="false" ht="15" hidden="false" customHeight="true" outlineLevel="0" collapsed="false">
      <c r="A21" s="29" t="s">
        <v>57</v>
      </c>
      <c r="B21" s="29" t="s">
        <v>11</v>
      </c>
      <c r="C21" s="29" t="s">
        <v>41</v>
      </c>
      <c r="D21" s="29" t="s">
        <v>42</v>
      </c>
      <c r="E21" s="30" t="n">
        <v>470</v>
      </c>
      <c r="F21" s="30" t="n">
        <v>38</v>
      </c>
      <c r="G21" s="30" t="n">
        <v>48</v>
      </c>
      <c r="H21" s="30" t="n">
        <v>10</v>
      </c>
      <c r="I21" s="1" t="str">
        <f aca="false">$A21&amp;"|"&amp;$B21</f>
        <v>Vr|Lunch</v>
      </c>
    </row>
    <row r="22" customFormat="false" ht="15" hidden="false" customHeight="true" outlineLevel="0" collapsed="false">
      <c r="A22" s="29" t="s">
        <v>57</v>
      </c>
      <c r="B22" s="29" t="s">
        <v>12</v>
      </c>
      <c r="C22" s="29" t="s">
        <v>43</v>
      </c>
      <c r="D22" s="29" t="s">
        <v>44</v>
      </c>
      <c r="E22" s="30" t="n">
        <v>760</v>
      </c>
      <c r="F22" s="30" t="n">
        <v>40</v>
      </c>
      <c r="G22" s="30" t="n">
        <v>75</v>
      </c>
      <c r="H22" s="30" t="n">
        <v>26</v>
      </c>
      <c r="I22" s="1" t="str">
        <f aca="false">$A22&amp;"|"&amp;$B22</f>
        <v>Vr|Diner</v>
      </c>
    </row>
    <row r="23" customFormat="false" ht="15" hidden="false" customHeight="true" outlineLevel="0" collapsed="false">
      <c r="A23" s="29" t="s">
        <v>57</v>
      </c>
      <c r="B23" s="29" t="s">
        <v>13</v>
      </c>
      <c r="C23" s="29" t="s">
        <v>45</v>
      </c>
      <c r="D23" s="29" t="s">
        <v>46</v>
      </c>
      <c r="E23" s="30" t="n">
        <v>280</v>
      </c>
      <c r="F23" s="30" t="n">
        <v>20</v>
      </c>
      <c r="G23" s="30" t="n">
        <v>32</v>
      </c>
      <c r="H23" s="30" t="n">
        <v>7</v>
      </c>
      <c r="I23" s="1" t="str">
        <f aca="false">$A23&amp;"|"&amp;$B23</f>
        <v>Vr|Snack</v>
      </c>
    </row>
    <row r="24" customFormat="false" ht="15" hidden="false" customHeight="true" outlineLevel="0" collapsed="false">
      <c r="A24" s="31" t="s">
        <v>58</v>
      </c>
      <c r="B24" s="31" t="s">
        <v>10</v>
      </c>
      <c r="C24" s="31" t="s">
        <v>48</v>
      </c>
      <c r="D24" s="31" t="s">
        <v>49</v>
      </c>
      <c r="E24" s="32" t="n">
        <v>480</v>
      </c>
      <c r="F24" s="32" t="n">
        <v>38</v>
      </c>
      <c r="G24" s="32" t="n">
        <v>46</v>
      </c>
      <c r="H24" s="32" t="n">
        <v>10</v>
      </c>
      <c r="I24" s="1" t="str">
        <f aca="false">$A24&amp;"|"&amp;$B24</f>
        <v>Za|Ontbijt</v>
      </c>
    </row>
    <row r="25" customFormat="false" ht="15" hidden="false" customHeight="true" outlineLevel="0" collapsed="false">
      <c r="A25" s="31" t="s">
        <v>58</v>
      </c>
      <c r="B25" s="31" t="s">
        <v>11</v>
      </c>
      <c r="C25" s="31" t="s">
        <v>50</v>
      </c>
      <c r="D25" s="31" t="s">
        <v>51</v>
      </c>
      <c r="E25" s="32" t="n">
        <v>600</v>
      </c>
      <c r="F25" s="32" t="n">
        <v>45</v>
      </c>
      <c r="G25" s="32" t="n">
        <v>22</v>
      </c>
      <c r="H25" s="32" t="n">
        <v>30</v>
      </c>
      <c r="I25" s="1" t="str">
        <f aca="false">$A25&amp;"|"&amp;$B25</f>
        <v>Za|Lunch</v>
      </c>
    </row>
    <row r="26" customFormat="false" ht="15" hidden="false" customHeight="true" outlineLevel="0" collapsed="false">
      <c r="A26" s="31" t="s">
        <v>58</v>
      </c>
      <c r="B26" s="31" t="s">
        <v>12</v>
      </c>
      <c r="C26" s="31" t="s">
        <v>52</v>
      </c>
      <c r="D26" s="31" t="s">
        <v>53</v>
      </c>
      <c r="E26" s="32" t="n">
        <v>620</v>
      </c>
      <c r="F26" s="32" t="n">
        <v>50</v>
      </c>
      <c r="G26" s="32" t="n">
        <v>58</v>
      </c>
      <c r="H26" s="32" t="n">
        <v>14</v>
      </c>
      <c r="I26" s="1" t="str">
        <f aca="false">$A26&amp;"|"&amp;$B26</f>
        <v>Za|Diner</v>
      </c>
    </row>
    <row r="27" customFormat="false" ht="15" hidden="false" customHeight="true" outlineLevel="0" collapsed="false">
      <c r="A27" s="31" t="s">
        <v>58</v>
      </c>
      <c r="B27" s="31" t="s">
        <v>13</v>
      </c>
      <c r="C27" s="31" t="s">
        <v>54</v>
      </c>
      <c r="D27" s="31" t="s">
        <v>55</v>
      </c>
      <c r="E27" s="32" t="n">
        <v>240</v>
      </c>
      <c r="F27" s="32" t="n">
        <v>22</v>
      </c>
      <c r="G27" s="32" t="n">
        <v>24</v>
      </c>
      <c r="H27" s="32" t="n">
        <v>2</v>
      </c>
      <c r="I27" s="1" t="str">
        <f aca="false">$A27&amp;"|"&amp;$B27</f>
        <v>Za|Snack</v>
      </c>
    </row>
    <row r="28" customFormat="false" ht="15" hidden="false" customHeight="true" outlineLevel="0" collapsed="false">
      <c r="A28" s="29" t="s">
        <v>59</v>
      </c>
      <c r="B28" s="29" t="s">
        <v>10</v>
      </c>
      <c r="C28" s="29" t="s">
        <v>30</v>
      </c>
      <c r="D28" s="29" t="s">
        <v>31</v>
      </c>
      <c r="E28" s="30" t="n">
        <v>520</v>
      </c>
      <c r="F28" s="30" t="n">
        <v>30</v>
      </c>
      <c r="G28" s="30" t="n">
        <v>52</v>
      </c>
      <c r="H28" s="30" t="n">
        <v>18</v>
      </c>
      <c r="I28" s="1" t="str">
        <f aca="false">$A28&amp;"|"&amp;$B28</f>
        <v>Zo|Ontbijt</v>
      </c>
    </row>
    <row r="29" customFormat="false" ht="15" hidden="false" customHeight="true" outlineLevel="0" collapsed="false">
      <c r="A29" s="29" t="s">
        <v>59</v>
      </c>
      <c r="B29" s="29" t="s">
        <v>11</v>
      </c>
      <c r="C29" s="29" t="s">
        <v>32</v>
      </c>
      <c r="D29" s="29" t="s">
        <v>33</v>
      </c>
      <c r="E29" s="30" t="n">
        <v>560</v>
      </c>
      <c r="F29" s="30" t="n">
        <v>48</v>
      </c>
      <c r="G29" s="30" t="n">
        <v>55</v>
      </c>
      <c r="H29" s="30" t="n">
        <v>12</v>
      </c>
      <c r="I29" s="1" t="str">
        <f aca="false">$A29&amp;"|"&amp;$B29</f>
        <v>Zo|Lunch</v>
      </c>
    </row>
    <row r="30" customFormat="false" ht="15" hidden="false" customHeight="true" outlineLevel="0" collapsed="false">
      <c r="A30" s="29" t="s">
        <v>59</v>
      </c>
      <c r="B30" s="29" t="s">
        <v>12</v>
      </c>
      <c r="C30" s="29" t="s">
        <v>34</v>
      </c>
      <c r="D30" s="29" t="s">
        <v>35</v>
      </c>
      <c r="E30" s="30" t="n">
        <v>600</v>
      </c>
      <c r="F30" s="30" t="n">
        <v>42</v>
      </c>
      <c r="G30" s="30" t="n">
        <v>62</v>
      </c>
      <c r="H30" s="30" t="n">
        <v>16</v>
      </c>
      <c r="I30" s="1" t="str">
        <f aca="false">$A30&amp;"|"&amp;$B30</f>
        <v>Zo|Diner</v>
      </c>
    </row>
    <row r="31" customFormat="false" ht="15" hidden="false" customHeight="true" outlineLevel="0" collapsed="false">
      <c r="A31" s="29" t="s">
        <v>59</v>
      </c>
      <c r="B31" s="29" t="s">
        <v>13</v>
      </c>
      <c r="C31" s="29" t="s">
        <v>36</v>
      </c>
      <c r="D31" s="29" t="s">
        <v>37</v>
      </c>
      <c r="E31" s="30" t="n">
        <v>300</v>
      </c>
      <c r="F31" s="30" t="n">
        <v>28</v>
      </c>
      <c r="G31" s="30" t="n">
        <v>10</v>
      </c>
      <c r="H31" s="30" t="n">
        <v>14</v>
      </c>
      <c r="I31" s="1" t="str">
        <f aca="false">$A31&amp;"|"&amp;$B31</f>
        <v>Zo|Snack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D9D9"/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3"/>
    <col collapsed="false" customWidth="true" hidden="false" outlineLevel="0" max="4" min="4" style="1" width="30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18" hidden="false" customHeight="true" outlineLevel="0" collapsed="false">
      <c r="A1" s="26" t="s">
        <v>60</v>
      </c>
      <c r="B1" s="26"/>
      <c r="C1" s="26"/>
      <c r="D1" s="26"/>
    </row>
    <row r="2" customFormat="false" ht="15" hidden="false" customHeight="true" outlineLevel="0" collapsed="false">
      <c r="A2" s="27" t="s">
        <v>61</v>
      </c>
      <c r="B2" s="27"/>
      <c r="C2" s="27"/>
      <c r="D2" s="27"/>
    </row>
    <row r="3" customFormat="false" ht="15" hidden="false" customHeight="true" outlineLevel="0" collapsed="false">
      <c r="A3" s="28" t="s">
        <v>62</v>
      </c>
      <c r="B3" s="28" t="s">
        <v>63</v>
      </c>
      <c r="C3" s="28" t="s">
        <v>64</v>
      </c>
      <c r="D3" s="28" t="s">
        <v>65</v>
      </c>
      <c r="F3" s="33" t="s">
        <v>66</v>
      </c>
      <c r="G3" s="33"/>
      <c r="H3" s="33"/>
    </row>
    <row r="4" customFormat="false" ht="15" hidden="false" customHeight="true" outlineLevel="0" collapsed="false">
      <c r="A4" s="34" t="n">
        <v>46271</v>
      </c>
      <c r="B4" s="35" t="n">
        <v>88.6</v>
      </c>
      <c r="C4" s="30"/>
      <c r="D4" s="36"/>
      <c r="F4" s="37" t="s">
        <v>67</v>
      </c>
      <c r="G4" s="38"/>
      <c r="H4" s="39" t="s">
        <v>68</v>
      </c>
    </row>
    <row r="5" customFormat="false" ht="15" hidden="false" customHeight="true" outlineLevel="0" collapsed="false">
      <c r="A5" s="34" t="n">
        <v>46278</v>
      </c>
      <c r="B5" s="35" t="n">
        <v>88.2</v>
      </c>
      <c r="C5" s="40" t="n">
        <f aca="false">IF(AND(B5&lt;&gt;"",B4&lt;&gt;""),B5-B4,"")</f>
        <v>-0.399999999999992</v>
      </c>
      <c r="D5" s="36"/>
      <c r="F5" s="37" t="s">
        <v>69</v>
      </c>
      <c r="G5" s="41" t="n">
        <f aca="false">IFERROR(LOOKUP(2,1/(B4:B30&lt;&gt;""),B4:B30),"")</f>
        <v>87</v>
      </c>
    </row>
    <row r="6" customFormat="false" ht="15" hidden="false" customHeight="true" outlineLevel="0" collapsed="false">
      <c r="A6" s="34" t="n">
        <v>46285</v>
      </c>
      <c r="B6" s="35" t="n">
        <v>88.4</v>
      </c>
      <c r="C6" s="40" t="n">
        <f aca="false">IF(AND(B6&lt;&gt;"",B5&lt;&gt;""),B6-B5,"")</f>
        <v>0.200000000000003</v>
      </c>
      <c r="D6" s="36"/>
      <c r="F6" s="42" t="s">
        <v>70</v>
      </c>
      <c r="G6" s="43" t="str">
        <f aca="false">IF(AND(G4&gt;0,G5&gt;0),ROUND(G5/(G4/100)^2,1),"")</f>
        <v/>
      </c>
    </row>
    <row r="7" customFormat="false" ht="15" hidden="false" customHeight="true" outlineLevel="0" collapsed="false">
      <c r="A7" s="34" t="n">
        <v>46292</v>
      </c>
      <c r="B7" s="35" t="n">
        <v>87.9</v>
      </c>
      <c r="C7" s="40" t="n">
        <f aca="false">IF(AND(B7&lt;&gt;"",B6&lt;&gt;""),B7-B6,"")</f>
        <v>-0.5</v>
      </c>
      <c r="D7" s="36"/>
      <c r="F7" s="37" t="s">
        <v>71</v>
      </c>
      <c r="G7" s="44" t="str">
        <f aca="false">IF(G6="","",IF(G6&lt;18.5,"Ondergewicht",IF(G6&lt;25,"Gezond",IF(G6&lt;30,"Overgewicht","Obesitas"))))</f>
        <v/>
      </c>
    </row>
    <row r="8" customFormat="false" ht="15" hidden="false" customHeight="true" outlineLevel="0" collapsed="false">
      <c r="A8" s="34" t="n">
        <v>46299</v>
      </c>
      <c r="B8" s="35" t="n">
        <v>87.6</v>
      </c>
      <c r="C8" s="40" t="n">
        <f aca="false">IF(AND(B8&lt;&gt;"",B7&lt;&gt;""),B8-B7,"")</f>
        <v>-0.300000000000011</v>
      </c>
      <c r="D8" s="36"/>
    </row>
    <row r="9" customFormat="false" ht="15" hidden="false" customHeight="true" outlineLevel="0" collapsed="false">
      <c r="A9" s="34" t="n">
        <v>46306</v>
      </c>
      <c r="B9" s="35" t="n">
        <v>87.7</v>
      </c>
      <c r="C9" s="40" t="n">
        <f aca="false">IF(AND(B9&lt;&gt;"",B8&lt;&gt;""),B9-B8,"")</f>
        <v>0.100000000000009</v>
      </c>
      <c r="D9" s="36"/>
      <c r="F9" s="45" t="s">
        <v>72</v>
      </c>
      <c r="G9" s="45"/>
      <c r="H9" s="45"/>
    </row>
    <row r="10" customFormat="false" ht="15" hidden="false" customHeight="true" outlineLevel="0" collapsed="false">
      <c r="A10" s="34" t="n">
        <v>46313</v>
      </c>
      <c r="B10" s="35" t="n">
        <v>87.2</v>
      </c>
      <c r="C10" s="40" t="n">
        <f aca="false">IF(AND(B10&lt;&gt;"",B9&lt;&gt;""),B10-B9,"")</f>
        <v>-0.5</v>
      </c>
      <c r="D10" s="36"/>
      <c r="F10" s="45"/>
      <c r="G10" s="45"/>
      <c r="H10" s="45"/>
    </row>
    <row r="11" customFormat="false" ht="15" hidden="false" customHeight="true" outlineLevel="0" collapsed="false">
      <c r="A11" s="34" t="n">
        <v>46320</v>
      </c>
      <c r="B11" s="35" t="n">
        <v>87</v>
      </c>
      <c r="C11" s="40" t="n">
        <f aca="false">IF(AND(B11&lt;&gt;"",B10&lt;&gt;""),B11-B10,"")</f>
        <v>-0.200000000000003</v>
      </c>
      <c r="D11" s="36"/>
      <c r="F11" s="45"/>
      <c r="G11" s="45"/>
      <c r="H11" s="45"/>
    </row>
    <row r="12" customFormat="false" ht="15" hidden="false" customHeight="true" outlineLevel="0" collapsed="false">
      <c r="A12" s="30"/>
      <c r="B12" s="35"/>
      <c r="C12" s="40" t="str">
        <f aca="false">IF(AND(B12&lt;&gt;"",B11&lt;&gt;""),B12-B11,"")</f>
        <v/>
      </c>
      <c r="D12" s="36"/>
      <c r="F12" s="45"/>
      <c r="G12" s="45"/>
      <c r="H12" s="45"/>
    </row>
    <row r="13" customFormat="false" ht="15" hidden="false" customHeight="true" outlineLevel="0" collapsed="false">
      <c r="A13" s="30"/>
      <c r="B13" s="35"/>
      <c r="C13" s="40" t="str">
        <f aca="false">IF(AND(B13&lt;&gt;"",B12&lt;&gt;""),B13-B12,"")</f>
        <v/>
      </c>
      <c r="D13" s="36"/>
    </row>
    <row r="14" customFormat="false" ht="15" hidden="false" customHeight="true" outlineLevel="0" collapsed="false">
      <c r="A14" s="30"/>
      <c r="B14" s="35"/>
      <c r="C14" s="40" t="str">
        <f aca="false">IF(AND(B14&lt;&gt;"",B13&lt;&gt;""),B14-B13,"")</f>
        <v/>
      </c>
      <c r="D14" s="36"/>
    </row>
    <row r="15" customFormat="false" ht="15" hidden="false" customHeight="true" outlineLevel="0" collapsed="false">
      <c r="A15" s="30"/>
      <c r="B15" s="35"/>
      <c r="C15" s="40" t="str">
        <f aca="false">IF(AND(B15&lt;&gt;"",B14&lt;&gt;""),B15-B14,"")</f>
        <v/>
      </c>
      <c r="D15" s="36"/>
    </row>
    <row r="16" customFormat="false" ht="15" hidden="false" customHeight="true" outlineLevel="0" collapsed="false">
      <c r="A16" s="30"/>
      <c r="B16" s="35"/>
      <c r="C16" s="40" t="str">
        <f aca="false">IF(AND(B16&lt;&gt;"",B15&lt;&gt;""),B16-B15,"")</f>
        <v/>
      </c>
      <c r="D16" s="36"/>
    </row>
    <row r="17" customFormat="false" ht="15" hidden="false" customHeight="true" outlineLevel="0" collapsed="false">
      <c r="A17" s="30"/>
      <c r="B17" s="35"/>
      <c r="C17" s="40" t="str">
        <f aca="false">IF(AND(B17&lt;&gt;"",B16&lt;&gt;""),B17-B16,"")</f>
        <v/>
      </c>
      <c r="D17" s="36"/>
    </row>
    <row r="18" customFormat="false" ht="15" hidden="false" customHeight="true" outlineLevel="0" collapsed="false">
      <c r="A18" s="30"/>
      <c r="B18" s="35"/>
      <c r="C18" s="40" t="str">
        <f aca="false">IF(AND(B18&lt;&gt;"",B17&lt;&gt;""),B18-B17,"")</f>
        <v/>
      </c>
      <c r="D18" s="36"/>
    </row>
    <row r="19" customFormat="false" ht="15" hidden="false" customHeight="true" outlineLevel="0" collapsed="false">
      <c r="A19" s="30"/>
      <c r="B19" s="35"/>
      <c r="C19" s="40" t="str">
        <f aca="false">IF(AND(B19&lt;&gt;"",B18&lt;&gt;""),B19-B18,"")</f>
        <v/>
      </c>
      <c r="D19" s="36"/>
    </row>
    <row r="20" customFormat="false" ht="15" hidden="false" customHeight="true" outlineLevel="0" collapsed="false">
      <c r="A20" s="30"/>
      <c r="B20" s="35"/>
      <c r="C20" s="40" t="str">
        <f aca="false">IF(AND(B20&lt;&gt;"",B19&lt;&gt;""),B20-B19,"")</f>
        <v/>
      </c>
      <c r="D20" s="36"/>
    </row>
    <row r="21" customFormat="false" ht="15" hidden="false" customHeight="true" outlineLevel="0" collapsed="false">
      <c r="A21" s="30"/>
      <c r="B21" s="35"/>
      <c r="C21" s="40" t="str">
        <f aca="false">IF(AND(B21&lt;&gt;"",B20&lt;&gt;""),B21-B20,"")</f>
        <v/>
      </c>
      <c r="D21" s="36"/>
    </row>
    <row r="22" customFormat="false" ht="15" hidden="false" customHeight="true" outlineLevel="0" collapsed="false">
      <c r="A22" s="30"/>
      <c r="B22" s="35"/>
      <c r="C22" s="40" t="str">
        <f aca="false">IF(AND(B22&lt;&gt;"",B21&lt;&gt;""),B22-B21,"")</f>
        <v/>
      </c>
      <c r="D22" s="36"/>
    </row>
    <row r="23" customFormat="false" ht="15" hidden="false" customHeight="true" outlineLevel="0" collapsed="false">
      <c r="A23" s="30"/>
      <c r="B23" s="35"/>
      <c r="C23" s="40" t="str">
        <f aca="false">IF(AND(B23&lt;&gt;"",B22&lt;&gt;""),B23-B22,"")</f>
        <v/>
      </c>
      <c r="D23" s="36"/>
    </row>
    <row r="24" customFormat="false" ht="15" hidden="false" customHeight="true" outlineLevel="0" collapsed="false">
      <c r="A24" s="30"/>
      <c r="B24" s="35"/>
      <c r="C24" s="40" t="str">
        <f aca="false">IF(AND(B24&lt;&gt;"",B23&lt;&gt;""),B24-B23,"")</f>
        <v/>
      </c>
      <c r="D24" s="36"/>
    </row>
    <row r="25" customFormat="false" ht="15" hidden="false" customHeight="true" outlineLevel="0" collapsed="false">
      <c r="A25" s="30"/>
      <c r="B25" s="35"/>
      <c r="C25" s="40" t="str">
        <f aca="false">IF(AND(B25&lt;&gt;"",B24&lt;&gt;""),B25-B24,"")</f>
        <v/>
      </c>
      <c r="D25" s="36"/>
    </row>
    <row r="26" customFormat="false" ht="15" hidden="false" customHeight="true" outlineLevel="0" collapsed="false">
      <c r="A26" s="30"/>
      <c r="B26" s="35"/>
      <c r="C26" s="40" t="str">
        <f aca="false">IF(AND(B26&lt;&gt;"",B25&lt;&gt;""),B26-B25,"")</f>
        <v/>
      </c>
      <c r="D26" s="36"/>
    </row>
    <row r="27" customFormat="false" ht="15" hidden="false" customHeight="true" outlineLevel="0" collapsed="false">
      <c r="A27" s="30"/>
      <c r="B27" s="35"/>
      <c r="C27" s="40" t="str">
        <f aca="false">IF(AND(B27&lt;&gt;"",B26&lt;&gt;""),B27-B26,"")</f>
        <v/>
      </c>
      <c r="D27" s="36"/>
    </row>
    <row r="28" customFormat="false" ht="15" hidden="false" customHeight="true" outlineLevel="0" collapsed="false">
      <c r="A28" s="30"/>
      <c r="B28" s="35"/>
      <c r="C28" s="40" t="str">
        <f aca="false">IF(AND(B28&lt;&gt;"",B27&lt;&gt;""),B28-B27,"")</f>
        <v/>
      </c>
      <c r="D28" s="36"/>
    </row>
    <row r="29" customFormat="false" ht="15" hidden="false" customHeight="true" outlineLevel="0" collapsed="false">
      <c r="A29" s="30"/>
      <c r="B29" s="35"/>
      <c r="C29" s="40" t="str">
        <f aca="false">IF(AND(B29&lt;&gt;"",B28&lt;&gt;""),B29-B28,"")</f>
        <v/>
      </c>
      <c r="D29" s="36"/>
    </row>
    <row r="30" customFormat="false" ht="15" hidden="false" customHeight="true" outlineLevel="0" collapsed="false">
      <c r="A30" s="30"/>
      <c r="B30" s="35"/>
      <c r="C30" s="40" t="str">
        <f aca="false">IF(AND(B30&lt;&gt;"",B29&lt;&gt;""),B30-B29,"")</f>
        <v/>
      </c>
      <c r="D30" s="36"/>
    </row>
  </sheetData>
  <mergeCells count="4">
    <mergeCell ref="A1:D1"/>
    <mergeCell ref="A2:D2"/>
    <mergeCell ref="F3:H3"/>
    <mergeCell ref="F9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D9D9"/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9"/>
  </cols>
  <sheetData>
    <row r="1" customFormat="false" ht="18" hidden="false" customHeight="true" outlineLevel="0" collapsed="false">
      <c r="A1" s="26" t="s">
        <v>73</v>
      </c>
      <c r="B1" s="26"/>
      <c r="C1" s="26"/>
      <c r="D1" s="26"/>
    </row>
    <row r="2" customFormat="false" ht="15" hidden="false" customHeight="true" outlineLevel="0" collapsed="false">
      <c r="A2" s="27" t="s">
        <v>74</v>
      </c>
      <c r="B2" s="27"/>
      <c r="C2" s="27"/>
      <c r="D2" s="27"/>
    </row>
    <row r="3" customFormat="false" ht="15" hidden="false" customHeight="true" outlineLevel="0" collapsed="false">
      <c r="A3" s="28" t="s">
        <v>71</v>
      </c>
      <c r="B3" s="28" t="s">
        <v>75</v>
      </c>
      <c r="C3" s="28" t="s">
        <v>76</v>
      </c>
      <c r="D3" s="28" t="s">
        <v>77</v>
      </c>
    </row>
    <row r="4" customFormat="false" ht="15" hidden="false" customHeight="true" outlineLevel="0" collapsed="false">
      <c r="A4" s="46" t="s">
        <v>78</v>
      </c>
      <c r="B4" s="29" t="s">
        <v>79</v>
      </c>
      <c r="C4" s="47"/>
      <c r="D4" s="48"/>
    </row>
    <row r="5" customFormat="false" ht="15" hidden="false" customHeight="true" outlineLevel="0" collapsed="false">
      <c r="A5" s="46" t="s">
        <v>78</v>
      </c>
      <c r="B5" s="29" t="s">
        <v>80</v>
      </c>
      <c r="C5" s="47"/>
      <c r="D5" s="48"/>
    </row>
    <row r="6" customFormat="false" ht="15" hidden="false" customHeight="true" outlineLevel="0" collapsed="false">
      <c r="A6" s="46" t="s">
        <v>78</v>
      </c>
      <c r="B6" s="29" t="s">
        <v>81</v>
      </c>
      <c r="C6" s="47"/>
      <c r="D6" s="48"/>
    </row>
    <row r="7" customFormat="false" ht="15" hidden="false" customHeight="true" outlineLevel="0" collapsed="false">
      <c r="A7" s="46" t="s">
        <v>78</v>
      </c>
      <c r="B7" s="29" t="s">
        <v>82</v>
      </c>
      <c r="C7" s="47"/>
      <c r="D7" s="48"/>
    </row>
    <row r="8" customFormat="false" ht="15" hidden="false" customHeight="true" outlineLevel="0" collapsed="false">
      <c r="A8" s="46" t="s">
        <v>83</v>
      </c>
      <c r="B8" s="29" t="s">
        <v>84</v>
      </c>
      <c r="C8" s="47"/>
      <c r="D8" s="48"/>
    </row>
    <row r="9" customFormat="false" ht="15" hidden="false" customHeight="true" outlineLevel="0" collapsed="false">
      <c r="A9" s="46" t="s">
        <v>83</v>
      </c>
      <c r="B9" s="29" t="s">
        <v>85</v>
      </c>
      <c r="C9" s="47"/>
      <c r="D9" s="48"/>
    </row>
    <row r="10" customFormat="false" ht="15" hidden="false" customHeight="true" outlineLevel="0" collapsed="false">
      <c r="A10" s="46" t="s">
        <v>83</v>
      </c>
      <c r="B10" s="29" t="s">
        <v>86</v>
      </c>
      <c r="C10" s="47"/>
      <c r="D10" s="48"/>
    </row>
    <row r="11" customFormat="false" ht="15" hidden="false" customHeight="true" outlineLevel="0" collapsed="false">
      <c r="A11" s="46" t="s">
        <v>87</v>
      </c>
      <c r="B11" s="29" t="s">
        <v>88</v>
      </c>
      <c r="C11" s="47"/>
      <c r="D11" s="48"/>
    </row>
    <row r="12" customFormat="false" ht="15" hidden="false" customHeight="true" outlineLevel="0" collapsed="false">
      <c r="A12" s="46" t="s">
        <v>87</v>
      </c>
      <c r="B12" s="29" t="s">
        <v>89</v>
      </c>
      <c r="C12" s="47"/>
      <c r="D12" s="48"/>
    </row>
    <row r="13" customFormat="false" ht="15" hidden="false" customHeight="true" outlineLevel="0" collapsed="false">
      <c r="A13" s="46" t="s">
        <v>87</v>
      </c>
      <c r="B13" s="29" t="s">
        <v>90</v>
      </c>
      <c r="C13" s="47"/>
      <c r="D13" s="48"/>
    </row>
    <row r="14" customFormat="false" ht="15" hidden="false" customHeight="true" outlineLevel="0" collapsed="false">
      <c r="A14" s="46" t="s">
        <v>91</v>
      </c>
      <c r="B14" s="29" t="s">
        <v>92</v>
      </c>
      <c r="C14" s="47"/>
      <c r="D14" s="48"/>
    </row>
    <row r="15" customFormat="false" ht="15" hidden="false" customHeight="true" outlineLevel="0" collapsed="false">
      <c r="A15" s="46" t="s">
        <v>91</v>
      </c>
      <c r="B15" s="29" t="s">
        <v>93</v>
      </c>
      <c r="C15" s="47"/>
      <c r="D15" s="48"/>
    </row>
    <row r="16" customFormat="false" ht="15" hidden="false" customHeight="true" outlineLevel="0" collapsed="false">
      <c r="A16" s="46" t="s">
        <v>91</v>
      </c>
      <c r="B16" s="29" t="s">
        <v>94</v>
      </c>
      <c r="C16" s="47"/>
      <c r="D16" s="48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12"/>
  </cols>
  <sheetData>
    <row r="1" customFormat="false" ht="17.25" hidden="false" customHeight="true" outlineLevel="0" collapsed="false">
      <c r="A1" s="49" t="s">
        <v>95</v>
      </c>
    </row>
    <row r="2" customFormat="false" ht="15" hidden="false" customHeight="true" outlineLevel="0" collapsed="false">
      <c r="A2" s="50" t="s">
        <v>96</v>
      </c>
      <c r="B2" s="50"/>
      <c r="C2" s="50"/>
      <c r="D2" s="50"/>
    </row>
    <row r="4" customFormat="false" ht="21.75" hidden="false" customHeight="true" outlineLevel="0" collapsed="false">
      <c r="A4" s="51" t="n">
        <v>1</v>
      </c>
      <c r="B4" s="52" t="s">
        <v>97</v>
      </c>
      <c r="C4" s="52"/>
      <c r="D4" s="52"/>
    </row>
    <row r="5" customFormat="false" ht="15" hidden="false" customHeight="true" outlineLevel="0" collapsed="false">
      <c r="A5" s="53" t="s">
        <v>98</v>
      </c>
      <c r="B5" s="53"/>
      <c r="C5" s="53"/>
      <c r="D5" s="53"/>
    </row>
    <row r="6" customFormat="false" ht="15" hidden="false" customHeight="true" outlineLevel="0" collapsed="false">
      <c r="A6" s="54" t="s">
        <v>99</v>
      </c>
    </row>
    <row r="7" customFormat="false" ht="15" hidden="false" customHeight="true" outlineLevel="0" collapsed="false">
      <c r="B7" s="55" t="s">
        <v>100</v>
      </c>
      <c r="C7" s="55"/>
      <c r="D7" s="56" t="s">
        <v>101</v>
      </c>
    </row>
    <row r="8" customFormat="false" ht="15" hidden="false" customHeight="true" outlineLevel="0" collapsed="false">
      <c r="B8" s="55" t="s">
        <v>102</v>
      </c>
      <c r="C8" s="55"/>
      <c r="D8" s="56" t="s">
        <v>103</v>
      </c>
    </row>
    <row r="9" customFormat="false" ht="15" hidden="false" customHeight="true" outlineLevel="0" collapsed="false">
      <c r="B9" s="55" t="s">
        <v>104</v>
      </c>
      <c r="C9" s="55"/>
      <c r="D9" s="56" t="s">
        <v>105</v>
      </c>
    </row>
    <row r="10" customFormat="false" ht="15" hidden="false" customHeight="true" outlineLevel="0" collapsed="false">
      <c r="B10" s="55" t="s">
        <v>106</v>
      </c>
      <c r="C10" s="55"/>
      <c r="D10" s="56" t="s">
        <v>107</v>
      </c>
    </row>
    <row r="11" customFormat="false" ht="15" hidden="false" customHeight="true" outlineLevel="0" collapsed="false">
      <c r="B11" s="55" t="s">
        <v>108</v>
      </c>
      <c r="C11" s="55"/>
      <c r="D11" s="56" t="s">
        <v>109</v>
      </c>
    </row>
    <row r="12" customFormat="false" ht="15" hidden="false" customHeight="true" outlineLevel="0" collapsed="false">
      <c r="A12" s="54" t="s">
        <v>110</v>
      </c>
    </row>
    <row r="13" customFormat="false" ht="27.75" hidden="false" customHeight="true" outlineLevel="0" collapsed="false">
      <c r="A13" s="57" t="n">
        <v>1</v>
      </c>
      <c r="B13" s="58" t="s">
        <v>111</v>
      </c>
      <c r="C13" s="58"/>
      <c r="D13" s="58"/>
    </row>
    <row r="14" customFormat="false" ht="27.75" hidden="false" customHeight="true" outlineLevel="0" collapsed="false">
      <c r="A14" s="57" t="n">
        <v>2</v>
      </c>
      <c r="B14" s="58" t="s">
        <v>112</v>
      </c>
      <c r="C14" s="58"/>
      <c r="D14" s="58"/>
    </row>
    <row r="15" customFormat="false" ht="27.75" hidden="false" customHeight="true" outlineLevel="0" collapsed="false">
      <c r="A15" s="57" t="n">
        <v>3</v>
      </c>
      <c r="B15" s="58" t="s">
        <v>113</v>
      </c>
      <c r="C15" s="58"/>
      <c r="D15" s="58"/>
    </row>
    <row r="16" customFormat="false" ht="27.75" hidden="false" customHeight="true" outlineLevel="0" collapsed="false">
      <c r="A16" s="57" t="n">
        <v>4</v>
      </c>
      <c r="B16" s="58" t="s">
        <v>114</v>
      </c>
      <c r="C16" s="58"/>
      <c r="D16" s="58"/>
    </row>
    <row r="17" customFormat="false" ht="27.75" hidden="false" customHeight="true" outlineLevel="0" collapsed="false">
      <c r="A17" s="57" t="n">
        <v>5</v>
      </c>
      <c r="B17" s="58" t="s">
        <v>115</v>
      </c>
      <c r="C17" s="58"/>
      <c r="D17" s="58"/>
    </row>
    <row r="19" customFormat="false" ht="21.75" hidden="false" customHeight="true" outlineLevel="0" collapsed="false">
      <c r="A19" s="51" t="n">
        <v>2</v>
      </c>
      <c r="B19" s="52" t="s">
        <v>116</v>
      </c>
      <c r="C19" s="52"/>
      <c r="D19" s="52"/>
    </row>
    <row r="20" customFormat="false" ht="15" hidden="false" customHeight="true" outlineLevel="0" collapsed="false">
      <c r="A20" s="53" t="s">
        <v>117</v>
      </c>
      <c r="B20" s="53"/>
      <c r="C20" s="53"/>
      <c r="D20" s="53"/>
    </row>
    <row r="21" customFormat="false" ht="15" hidden="false" customHeight="true" outlineLevel="0" collapsed="false">
      <c r="A21" s="54" t="s">
        <v>99</v>
      </c>
    </row>
    <row r="22" customFormat="false" ht="15" hidden="false" customHeight="true" outlineLevel="0" collapsed="false">
      <c r="B22" s="55" t="s">
        <v>118</v>
      </c>
      <c r="C22" s="55"/>
      <c r="D22" s="56" t="s">
        <v>105</v>
      </c>
    </row>
    <row r="23" customFormat="false" ht="15" hidden="false" customHeight="true" outlineLevel="0" collapsed="false">
      <c r="B23" s="55" t="s">
        <v>119</v>
      </c>
      <c r="C23" s="55"/>
      <c r="D23" s="56" t="s">
        <v>105</v>
      </c>
    </row>
    <row r="24" customFormat="false" ht="15" hidden="false" customHeight="true" outlineLevel="0" collapsed="false">
      <c r="B24" s="55" t="s">
        <v>120</v>
      </c>
      <c r="C24" s="55"/>
      <c r="D24" s="56" t="s">
        <v>121</v>
      </c>
    </row>
    <row r="25" customFormat="false" ht="15" hidden="false" customHeight="true" outlineLevel="0" collapsed="false">
      <c r="B25" s="55" t="s">
        <v>122</v>
      </c>
      <c r="C25" s="55"/>
      <c r="D25" s="56" t="s">
        <v>123</v>
      </c>
    </row>
    <row r="26" customFormat="false" ht="15" hidden="false" customHeight="true" outlineLevel="0" collapsed="false">
      <c r="B26" s="55" t="s">
        <v>124</v>
      </c>
      <c r="C26" s="55"/>
      <c r="D26" s="56" t="s">
        <v>125</v>
      </c>
    </row>
    <row r="27" customFormat="false" ht="15" hidden="false" customHeight="true" outlineLevel="0" collapsed="false">
      <c r="B27" s="55" t="s">
        <v>126</v>
      </c>
      <c r="C27" s="55"/>
      <c r="D27" s="56" t="s">
        <v>127</v>
      </c>
    </row>
    <row r="28" customFormat="false" ht="15" hidden="false" customHeight="true" outlineLevel="0" collapsed="false">
      <c r="A28" s="54" t="s">
        <v>110</v>
      </c>
    </row>
    <row r="29" customFormat="false" ht="27.75" hidden="false" customHeight="true" outlineLevel="0" collapsed="false">
      <c r="A29" s="57" t="n">
        <v>1</v>
      </c>
      <c r="B29" s="58" t="s">
        <v>128</v>
      </c>
      <c r="C29" s="58"/>
      <c r="D29" s="58"/>
    </row>
    <row r="30" customFormat="false" ht="15.75" hidden="false" customHeight="true" outlineLevel="0" collapsed="false">
      <c r="A30" s="57" t="n">
        <v>2</v>
      </c>
      <c r="B30" s="58" t="s">
        <v>129</v>
      </c>
      <c r="C30" s="58"/>
      <c r="D30" s="58"/>
    </row>
    <row r="31" customFormat="false" ht="27.75" hidden="false" customHeight="true" outlineLevel="0" collapsed="false">
      <c r="A31" s="57" t="n">
        <v>3</v>
      </c>
      <c r="B31" s="58" t="s">
        <v>130</v>
      </c>
      <c r="C31" s="58"/>
      <c r="D31" s="58"/>
    </row>
    <row r="32" customFormat="false" ht="27.75" hidden="false" customHeight="true" outlineLevel="0" collapsed="false">
      <c r="A32" s="57" t="n">
        <v>4</v>
      </c>
      <c r="B32" s="58" t="s">
        <v>131</v>
      </c>
      <c r="C32" s="58"/>
      <c r="D32" s="58"/>
    </row>
    <row r="33" customFormat="false" ht="27.75" hidden="false" customHeight="true" outlineLevel="0" collapsed="false">
      <c r="A33" s="57" t="n">
        <v>5</v>
      </c>
      <c r="B33" s="58" t="s">
        <v>132</v>
      </c>
      <c r="C33" s="58"/>
      <c r="D33" s="58"/>
    </row>
    <row r="35" customFormat="false" ht="21.75" hidden="false" customHeight="true" outlineLevel="0" collapsed="false">
      <c r="A35" s="51" t="n">
        <v>3</v>
      </c>
      <c r="B35" s="52" t="s">
        <v>133</v>
      </c>
      <c r="C35" s="52"/>
      <c r="D35" s="52"/>
    </row>
    <row r="36" customFormat="false" ht="15" hidden="false" customHeight="true" outlineLevel="0" collapsed="false">
      <c r="A36" s="53" t="s">
        <v>134</v>
      </c>
      <c r="B36" s="53"/>
      <c r="C36" s="53"/>
      <c r="D36" s="53"/>
    </row>
    <row r="37" customFormat="false" ht="15" hidden="false" customHeight="true" outlineLevel="0" collapsed="false">
      <c r="A37" s="54" t="s">
        <v>99</v>
      </c>
    </row>
    <row r="38" customFormat="false" ht="15" hidden="false" customHeight="true" outlineLevel="0" collapsed="false">
      <c r="B38" s="55" t="s">
        <v>100</v>
      </c>
      <c r="C38" s="55"/>
      <c r="D38" s="56" t="s">
        <v>135</v>
      </c>
    </row>
    <row r="39" customFormat="false" ht="15" hidden="false" customHeight="true" outlineLevel="0" collapsed="false">
      <c r="B39" s="55" t="s">
        <v>136</v>
      </c>
      <c r="C39" s="55"/>
      <c r="D39" s="56" t="s">
        <v>125</v>
      </c>
    </row>
    <row r="40" customFormat="false" ht="15" hidden="false" customHeight="true" outlineLevel="0" collapsed="false">
      <c r="B40" s="55" t="s">
        <v>137</v>
      </c>
      <c r="C40" s="55"/>
      <c r="D40" s="56" t="s">
        <v>138</v>
      </c>
    </row>
    <row r="41" customFormat="false" ht="15" hidden="false" customHeight="true" outlineLevel="0" collapsed="false">
      <c r="B41" s="55" t="s">
        <v>139</v>
      </c>
      <c r="C41" s="55"/>
      <c r="D41" s="56" t="s">
        <v>140</v>
      </c>
    </row>
    <row r="42" customFormat="false" ht="15" hidden="false" customHeight="true" outlineLevel="0" collapsed="false">
      <c r="B42" s="55" t="s">
        <v>141</v>
      </c>
      <c r="C42" s="55"/>
      <c r="D42" s="56" t="s">
        <v>103</v>
      </c>
    </row>
    <row r="43" customFormat="false" ht="15" hidden="false" customHeight="true" outlineLevel="0" collapsed="false">
      <c r="A43" s="54" t="s">
        <v>110</v>
      </c>
    </row>
    <row r="44" customFormat="false" ht="27.75" hidden="false" customHeight="true" outlineLevel="0" collapsed="false">
      <c r="A44" s="57" t="n">
        <v>1</v>
      </c>
      <c r="B44" s="58" t="s">
        <v>142</v>
      </c>
      <c r="C44" s="58"/>
      <c r="D44" s="58"/>
    </row>
    <row r="45" customFormat="false" ht="15.75" hidden="false" customHeight="true" outlineLevel="0" collapsed="false">
      <c r="A45" s="57" t="n">
        <v>2</v>
      </c>
      <c r="B45" s="58" t="s">
        <v>143</v>
      </c>
      <c r="C45" s="58"/>
      <c r="D45" s="58"/>
    </row>
    <row r="46" customFormat="false" ht="27.75" hidden="false" customHeight="true" outlineLevel="0" collapsed="false">
      <c r="A46" s="57" t="n">
        <v>3</v>
      </c>
      <c r="B46" s="58" t="s">
        <v>144</v>
      </c>
      <c r="C46" s="58"/>
      <c r="D46" s="58"/>
    </row>
    <row r="47" customFormat="false" ht="27.75" hidden="false" customHeight="true" outlineLevel="0" collapsed="false">
      <c r="A47" s="57" t="n">
        <v>4</v>
      </c>
      <c r="B47" s="58" t="s">
        <v>145</v>
      </c>
      <c r="C47" s="58"/>
      <c r="D47" s="58"/>
    </row>
    <row r="49" customFormat="false" ht="21.75" hidden="false" customHeight="true" outlineLevel="0" collapsed="false">
      <c r="A49" s="51" t="n">
        <v>4</v>
      </c>
      <c r="B49" s="52" t="s">
        <v>146</v>
      </c>
      <c r="C49" s="52"/>
      <c r="D49" s="52"/>
    </row>
    <row r="50" customFormat="false" ht="15" hidden="false" customHeight="true" outlineLevel="0" collapsed="false">
      <c r="A50" s="53" t="s">
        <v>147</v>
      </c>
      <c r="B50" s="53"/>
      <c r="C50" s="53"/>
      <c r="D50" s="53"/>
    </row>
    <row r="51" customFormat="false" ht="15" hidden="false" customHeight="true" outlineLevel="0" collapsed="false">
      <c r="A51" s="54" t="s">
        <v>99</v>
      </c>
    </row>
    <row r="52" customFormat="false" ht="15" hidden="false" customHeight="true" outlineLevel="0" collapsed="false">
      <c r="B52" s="55" t="s">
        <v>148</v>
      </c>
      <c r="C52" s="55"/>
      <c r="D52" s="56" t="s">
        <v>149</v>
      </c>
    </row>
    <row r="53" customFormat="false" ht="15" hidden="false" customHeight="true" outlineLevel="0" collapsed="false">
      <c r="B53" s="55" t="s">
        <v>150</v>
      </c>
      <c r="C53" s="55"/>
      <c r="D53" s="56" t="s">
        <v>151</v>
      </c>
    </row>
    <row r="54" customFormat="false" ht="15" hidden="false" customHeight="true" outlineLevel="0" collapsed="false">
      <c r="B54" s="55" t="s">
        <v>152</v>
      </c>
      <c r="C54" s="55"/>
      <c r="D54" s="56" t="s">
        <v>105</v>
      </c>
    </row>
    <row r="55" customFormat="false" ht="15" hidden="false" customHeight="true" outlineLevel="0" collapsed="false">
      <c r="B55" s="55" t="s">
        <v>153</v>
      </c>
      <c r="C55" s="55"/>
      <c r="D55" s="56" t="s">
        <v>101</v>
      </c>
    </row>
    <row r="56" customFormat="false" ht="15" hidden="false" customHeight="true" outlineLevel="0" collapsed="false">
      <c r="B56" s="55" t="s">
        <v>154</v>
      </c>
      <c r="C56" s="55"/>
      <c r="D56" s="56" t="s">
        <v>140</v>
      </c>
    </row>
    <row r="57" customFormat="false" ht="15" hidden="false" customHeight="true" outlineLevel="0" collapsed="false">
      <c r="A57" s="54" t="s">
        <v>110</v>
      </c>
    </row>
    <row r="58" customFormat="false" ht="27.75" hidden="false" customHeight="true" outlineLevel="0" collapsed="false">
      <c r="A58" s="57" t="n">
        <v>1</v>
      </c>
      <c r="B58" s="58" t="s">
        <v>155</v>
      </c>
      <c r="C58" s="58"/>
      <c r="D58" s="58"/>
    </row>
    <row r="59" customFormat="false" ht="42" hidden="false" customHeight="true" outlineLevel="0" collapsed="false">
      <c r="A59" s="57" t="n">
        <v>2</v>
      </c>
      <c r="B59" s="58" t="s">
        <v>156</v>
      </c>
      <c r="C59" s="58"/>
      <c r="D59" s="58"/>
    </row>
    <row r="60" customFormat="false" ht="27.75" hidden="false" customHeight="true" outlineLevel="0" collapsed="false">
      <c r="A60" s="57" t="n">
        <v>3</v>
      </c>
      <c r="B60" s="58" t="s">
        <v>157</v>
      </c>
      <c r="C60" s="58"/>
      <c r="D60" s="58"/>
    </row>
    <row r="61" customFormat="false" ht="27.75" hidden="false" customHeight="true" outlineLevel="0" collapsed="false">
      <c r="A61" s="57" t="n">
        <v>4</v>
      </c>
      <c r="B61" s="58" t="s">
        <v>158</v>
      </c>
      <c r="C61" s="58"/>
      <c r="D61" s="58"/>
    </row>
    <row r="62" customFormat="false" ht="27.75" hidden="false" customHeight="true" outlineLevel="0" collapsed="false">
      <c r="A62" s="57" t="n">
        <v>5</v>
      </c>
      <c r="B62" s="58" t="s">
        <v>159</v>
      </c>
      <c r="C62" s="58"/>
      <c r="D62" s="58"/>
    </row>
    <row r="64" customFormat="false" ht="21.75" hidden="false" customHeight="true" outlineLevel="0" collapsed="false">
      <c r="A64" s="51" t="n">
        <v>5</v>
      </c>
      <c r="B64" s="52" t="s">
        <v>160</v>
      </c>
      <c r="C64" s="52"/>
      <c r="D64" s="52"/>
    </row>
    <row r="65" customFormat="false" ht="15" hidden="false" customHeight="true" outlineLevel="0" collapsed="false">
      <c r="A65" s="53" t="s">
        <v>161</v>
      </c>
      <c r="B65" s="53"/>
      <c r="C65" s="53"/>
      <c r="D65" s="53"/>
    </row>
    <row r="66" customFormat="false" ht="15" hidden="false" customHeight="true" outlineLevel="0" collapsed="false">
      <c r="A66" s="54" t="s">
        <v>99</v>
      </c>
    </row>
    <row r="67" customFormat="false" ht="15" hidden="false" customHeight="true" outlineLevel="0" collapsed="false">
      <c r="B67" s="55" t="s">
        <v>162</v>
      </c>
      <c r="C67" s="55"/>
      <c r="D67" s="56" t="s">
        <v>163</v>
      </c>
    </row>
    <row r="68" customFormat="false" ht="15" hidden="false" customHeight="true" outlineLevel="0" collapsed="false">
      <c r="B68" s="55" t="s">
        <v>164</v>
      </c>
      <c r="C68" s="55"/>
      <c r="D68" s="56" t="s">
        <v>121</v>
      </c>
    </row>
    <row r="69" customFormat="false" ht="15" hidden="false" customHeight="true" outlineLevel="0" collapsed="false">
      <c r="B69" s="55" t="s">
        <v>165</v>
      </c>
      <c r="C69" s="55"/>
      <c r="D69" s="56" t="s">
        <v>166</v>
      </c>
    </row>
    <row r="70" customFormat="false" ht="15" hidden="false" customHeight="true" outlineLevel="0" collapsed="false">
      <c r="B70" s="55" t="s">
        <v>167</v>
      </c>
      <c r="C70" s="55"/>
      <c r="D70" s="56" t="s">
        <v>101</v>
      </c>
    </row>
    <row r="71" customFormat="false" ht="15" hidden="false" customHeight="true" outlineLevel="0" collapsed="false">
      <c r="B71" s="55" t="s">
        <v>168</v>
      </c>
      <c r="C71" s="55"/>
      <c r="D71" s="56" t="s">
        <v>109</v>
      </c>
    </row>
    <row r="72" customFormat="false" ht="15" hidden="false" customHeight="true" outlineLevel="0" collapsed="false">
      <c r="A72" s="54" t="s">
        <v>110</v>
      </c>
    </row>
    <row r="73" customFormat="false" ht="15.75" hidden="false" customHeight="true" outlineLevel="0" collapsed="false">
      <c r="A73" s="57" t="n">
        <v>1</v>
      </c>
      <c r="B73" s="58" t="s">
        <v>169</v>
      </c>
      <c r="C73" s="58"/>
      <c r="D73" s="58"/>
    </row>
    <row r="74" customFormat="false" ht="27.75" hidden="false" customHeight="true" outlineLevel="0" collapsed="false">
      <c r="A74" s="57" t="n">
        <v>2</v>
      </c>
      <c r="B74" s="58" t="s">
        <v>170</v>
      </c>
      <c r="C74" s="58"/>
      <c r="D74" s="58"/>
    </row>
    <row r="75" customFormat="false" ht="27.75" hidden="false" customHeight="true" outlineLevel="0" collapsed="false">
      <c r="A75" s="57" t="n">
        <v>3</v>
      </c>
      <c r="B75" s="58" t="s">
        <v>171</v>
      </c>
      <c r="C75" s="58"/>
      <c r="D75" s="58"/>
    </row>
    <row r="76" customFormat="false" ht="27.75" hidden="false" customHeight="true" outlineLevel="0" collapsed="false">
      <c r="A76" s="57" t="n">
        <v>4</v>
      </c>
      <c r="B76" s="58" t="s">
        <v>172</v>
      </c>
      <c r="C76" s="58"/>
      <c r="D76" s="58"/>
    </row>
    <row r="77" customFormat="false" ht="15.75" hidden="false" customHeight="true" outlineLevel="0" collapsed="false">
      <c r="A77" s="57" t="n">
        <v>5</v>
      </c>
      <c r="B77" s="58" t="s">
        <v>173</v>
      </c>
      <c r="C77" s="58"/>
      <c r="D77" s="58"/>
    </row>
    <row r="79" customFormat="false" ht="21.75" hidden="false" customHeight="true" outlineLevel="0" collapsed="false">
      <c r="A79" s="51" t="n">
        <v>6</v>
      </c>
      <c r="B79" s="52" t="s">
        <v>174</v>
      </c>
      <c r="C79" s="52"/>
      <c r="D79" s="52"/>
    </row>
    <row r="80" customFormat="false" ht="15" hidden="false" customHeight="true" outlineLevel="0" collapsed="false">
      <c r="A80" s="53" t="s">
        <v>175</v>
      </c>
      <c r="B80" s="53"/>
      <c r="C80" s="53"/>
      <c r="D80" s="53"/>
    </row>
    <row r="81" customFormat="false" ht="15" hidden="false" customHeight="true" outlineLevel="0" collapsed="false">
      <c r="A81" s="54" t="s">
        <v>99</v>
      </c>
    </row>
    <row r="82" customFormat="false" ht="15" hidden="false" customHeight="true" outlineLevel="0" collapsed="false">
      <c r="B82" s="55" t="s">
        <v>176</v>
      </c>
      <c r="C82" s="55"/>
      <c r="D82" s="56" t="s">
        <v>163</v>
      </c>
    </row>
    <row r="83" customFormat="false" ht="15" hidden="false" customHeight="true" outlineLevel="0" collapsed="false">
      <c r="B83" s="55" t="s">
        <v>177</v>
      </c>
      <c r="C83" s="55"/>
      <c r="D83" s="56" t="s">
        <v>125</v>
      </c>
    </row>
    <row r="84" customFormat="false" ht="15" hidden="false" customHeight="true" outlineLevel="0" collapsed="false">
      <c r="B84" s="55" t="s">
        <v>141</v>
      </c>
      <c r="C84" s="55"/>
      <c r="D84" s="56" t="s">
        <v>178</v>
      </c>
    </row>
    <row r="85" customFormat="false" ht="15" hidden="false" customHeight="true" outlineLevel="0" collapsed="false">
      <c r="B85" s="55" t="s">
        <v>179</v>
      </c>
      <c r="C85" s="55"/>
      <c r="D85" s="56" t="s">
        <v>140</v>
      </c>
    </row>
    <row r="86" customFormat="false" ht="15" hidden="false" customHeight="true" outlineLevel="0" collapsed="false">
      <c r="B86" s="55" t="s">
        <v>180</v>
      </c>
      <c r="C86" s="55"/>
      <c r="D86" s="56" t="s">
        <v>181</v>
      </c>
    </row>
    <row r="87" customFormat="false" ht="15" hidden="false" customHeight="true" outlineLevel="0" collapsed="false">
      <c r="A87" s="54" t="s">
        <v>110</v>
      </c>
    </row>
    <row r="88" customFormat="false" ht="15.75" hidden="false" customHeight="true" outlineLevel="0" collapsed="false">
      <c r="A88" s="57" t="n">
        <v>1</v>
      </c>
      <c r="B88" s="58" t="s">
        <v>182</v>
      </c>
      <c r="C88" s="58"/>
      <c r="D88" s="58"/>
    </row>
    <row r="89" customFormat="false" ht="15.75" hidden="false" customHeight="true" outlineLevel="0" collapsed="false">
      <c r="A89" s="57" t="n">
        <v>2</v>
      </c>
      <c r="B89" s="58" t="s">
        <v>183</v>
      </c>
      <c r="C89" s="58"/>
      <c r="D89" s="58"/>
    </row>
    <row r="90" customFormat="false" ht="27.75" hidden="false" customHeight="true" outlineLevel="0" collapsed="false">
      <c r="A90" s="57" t="n">
        <v>3</v>
      </c>
      <c r="B90" s="58" t="s">
        <v>184</v>
      </c>
      <c r="C90" s="58"/>
      <c r="D90" s="58"/>
    </row>
    <row r="92" customFormat="false" ht="21.75" hidden="false" customHeight="true" outlineLevel="0" collapsed="false">
      <c r="A92" s="51" t="n">
        <v>7</v>
      </c>
      <c r="B92" s="52" t="s">
        <v>185</v>
      </c>
      <c r="C92" s="52"/>
      <c r="D92" s="52"/>
    </row>
    <row r="93" customFormat="false" ht="15" hidden="false" customHeight="true" outlineLevel="0" collapsed="false">
      <c r="A93" s="53" t="s">
        <v>186</v>
      </c>
      <c r="B93" s="53"/>
      <c r="C93" s="53"/>
      <c r="D93" s="53"/>
    </row>
    <row r="94" customFormat="false" ht="15" hidden="false" customHeight="true" outlineLevel="0" collapsed="false">
      <c r="A94" s="54" t="s">
        <v>99</v>
      </c>
    </row>
    <row r="95" customFormat="false" ht="15" hidden="false" customHeight="true" outlineLevel="0" collapsed="false">
      <c r="B95" s="55" t="s">
        <v>187</v>
      </c>
      <c r="C95" s="55"/>
      <c r="D95" s="56" t="s">
        <v>188</v>
      </c>
    </row>
    <row r="96" customFormat="false" ht="15" hidden="false" customHeight="true" outlineLevel="0" collapsed="false">
      <c r="B96" s="55" t="s">
        <v>189</v>
      </c>
      <c r="C96" s="55"/>
      <c r="D96" s="56" t="s">
        <v>105</v>
      </c>
    </row>
    <row r="97" customFormat="false" ht="15" hidden="false" customHeight="true" outlineLevel="0" collapsed="false">
      <c r="B97" s="55" t="s">
        <v>190</v>
      </c>
      <c r="C97" s="55"/>
      <c r="D97" s="56" t="s">
        <v>166</v>
      </c>
    </row>
    <row r="98" customFormat="false" ht="15" hidden="false" customHeight="true" outlineLevel="0" collapsed="false">
      <c r="B98" s="55" t="s">
        <v>191</v>
      </c>
      <c r="C98" s="55"/>
      <c r="D98" s="56" t="s">
        <v>192</v>
      </c>
    </row>
    <row r="99" customFormat="false" ht="15" hidden="false" customHeight="true" outlineLevel="0" collapsed="false">
      <c r="A99" s="54" t="s">
        <v>110</v>
      </c>
    </row>
    <row r="100" customFormat="false" ht="15.75" hidden="false" customHeight="true" outlineLevel="0" collapsed="false">
      <c r="A100" s="57" t="n">
        <v>1</v>
      </c>
      <c r="B100" s="58" t="s">
        <v>193</v>
      </c>
      <c r="C100" s="58"/>
      <c r="D100" s="58"/>
    </row>
    <row r="101" customFormat="false" ht="15.75" hidden="false" customHeight="true" outlineLevel="0" collapsed="false">
      <c r="A101" s="57" t="n">
        <v>2</v>
      </c>
      <c r="B101" s="58" t="s">
        <v>194</v>
      </c>
      <c r="C101" s="58"/>
      <c r="D101" s="58"/>
    </row>
    <row r="102" customFormat="false" ht="15.75" hidden="false" customHeight="true" outlineLevel="0" collapsed="false">
      <c r="A102" s="57" t="n">
        <v>3</v>
      </c>
      <c r="B102" s="58" t="s">
        <v>195</v>
      </c>
      <c r="C102" s="58"/>
      <c r="D102" s="58"/>
    </row>
    <row r="103" customFormat="false" ht="27.75" hidden="false" customHeight="true" outlineLevel="0" collapsed="false">
      <c r="A103" s="57" t="n">
        <v>4</v>
      </c>
      <c r="B103" s="58" t="s">
        <v>196</v>
      </c>
      <c r="C103" s="58"/>
      <c r="D103" s="58"/>
    </row>
    <row r="105" customFormat="false" ht="21.75" hidden="false" customHeight="true" outlineLevel="0" collapsed="false">
      <c r="A105" s="51" t="n">
        <v>8</v>
      </c>
      <c r="B105" s="52" t="s">
        <v>197</v>
      </c>
      <c r="C105" s="52"/>
      <c r="D105" s="52"/>
    </row>
    <row r="106" customFormat="false" ht="15" hidden="false" customHeight="true" outlineLevel="0" collapsed="false">
      <c r="A106" s="53" t="s">
        <v>198</v>
      </c>
      <c r="B106" s="53"/>
      <c r="C106" s="53"/>
      <c r="D106" s="53"/>
    </row>
    <row r="107" customFormat="false" ht="15" hidden="false" customHeight="true" outlineLevel="0" collapsed="false">
      <c r="A107" s="54" t="s">
        <v>99</v>
      </c>
    </row>
    <row r="108" customFormat="false" ht="15" hidden="false" customHeight="true" outlineLevel="0" collapsed="false">
      <c r="B108" s="55" t="s">
        <v>199</v>
      </c>
      <c r="C108" s="55"/>
      <c r="D108" s="56" t="s">
        <v>121</v>
      </c>
    </row>
    <row r="109" customFormat="false" ht="15" hidden="false" customHeight="true" outlineLevel="0" collapsed="false">
      <c r="B109" s="55" t="s">
        <v>200</v>
      </c>
      <c r="C109" s="55"/>
      <c r="D109" s="56" t="s">
        <v>201</v>
      </c>
    </row>
    <row r="110" customFormat="false" ht="15" hidden="false" customHeight="true" outlineLevel="0" collapsed="false">
      <c r="B110" s="55" t="s">
        <v>202</v>
      </c>
      <c r="C110" s="55"/>
      <c r="D110" s="56" t="s">
        <v>105</v>
      </c>
    </row>
    <row r="111" customFormat="false" ht="15" hidden="false" customHeight="true" outlineLevel="0" collapsed="false">
      <c r="B111" s="55" t="s">
        <v>203</v>
      </c>
      <c r="C111" s="55"/>
      <c r="D111" s="56" t="s">
        <v>204</v>
      </c>
    </row>
    <row r="112" customFormat="false" ht="15" hidden="false" customHeight="true" outlineLevel="0" collapsed="false">
      <c r="B112" s="55" t="s">
        <v>205</v>
      </c>
      <c r="C112" s="55"/>
      <c r="D112" s="56" t="s">
        <v>181</v>
      </c>
    </row>
    <row r="113" customFormat="false" ht="15" hidden="false" customHeight="true" outlineLevel="0" collapsed="false">
      <c r="A113" s="54" t="s">
        <v>110</v>
      </c>
    </row>
    <row r="114" customFormat="false" ht="42" hidden="false" customHeight="true" outlineLevel="0" collapsed="false">
      <c r="A114" s="57" t="n">
        <v>1</v>
      </c>
      <c r="B114" s="58" t="s">
        <v>206</v>
      </c>
      <c r="C114" s="58"/>
      <c r="D114" s="58"/>
    </row>
    <row r="115" customFormat="false" ht="15.75" hidden="false" customHeight="true" outlineLevel="0" collapsed="false">
      <c r="A115" s="57" t="n">
        <v>2</v>
      </c>
      <c r="B115" s="58" t="s">
        <v>207</v>
      </c>
      <c r="C115" s="58"/>
      <c r="D115" s="58"/>
    </row>
    <row r="116" customFormat="false" ht="27.75" hidden="false" customHeight="true" outlineLevel="0" collapsed="false">
      <c r="A116" s="57" t="n">
        <v>3</v>
      </c>
      <c r="B116" s="58" t="s">
        <v>208</v>
      </c>
      <c r="C116" s="58"/>
      <c r="D116" s="58"/>
    </row>
    <row r="117" customFormat="false" ht="27.75" hidden="false" customHeight="true" outlineLevel="0" collapsed="false">
      <c r="A117" s="57" t="n">
        <v>4</v>
      </c>
      <c r="B117" s="58" t="s">
        <v>209</v>
      </c>
      <c r="C117" s="58"/>
      <c r="D117" s="58"/>
    </row>
    <row r="118" customFormat="false" ht="15.75" hidden="false" customHeight="true" outlineLevel="0" collapsed="false">
      <c r="A118" s="57" t="n">
        <v>5</v>
      </c>
      <c r="B118" s="58" t="s">
        <v>210</v>
      </c>
      <c r="C118" s="58"/>
      <c r="D118" s="58"/>
    </row>
    <row r="120" customFormat="false" ht="21.75" hidden="false" customHeight="true" outlineLevel="0" collapsed="false">
      <c r="A120" s="51" t="n">
        <v>9</v>
      </c>
      <c r="B120" s="52" t="s">
        <v>211</v>
      </c>
      <c r="C120" s="52"/>
      <c r="D120" s="52"/>
    </row>
    <row r="121" customFormat="false" ht="15" hidden="false" customHeight="true" outlineLevel="0" collapsed="false">
      <c r="A121" s="53" t="s">
        <v>212</v>
      </c>
      <c r="B121" s="53"/>
      <c r="C121" s="53"/>
      <c r="D121" s="53"/>
    </row>
    <row r="122" customFormat="false" ht="15" hidden="false" customHeight="true" outlineLevel="0" collapsed="false">
      <c r="A122" s="54" t="s">
        <v>99</v>
      </c>
    </row>
    <row r="123" customFormat="false" ht="15" hidden="false" customHeight="true" outlineLevel="0" collapsed="false">
      <c r="B123" s="55" t="s">
        <v>139</v>
      </c>
      <c r="C123" s="55"/>
      <c r="D123" s="56" t="s">
        <v>213</v>
      </c>
    </row>
    <row r="124" customFormat="false" ht="15" hidden="false" customHeight="true" outlineLevel="0" collapsed="false">
      <c r="B124" s="55" t="s">
        <v>214</v>
      </c>
      <c r="C124" s="55"/>
      <c r="D124" s="56" t="s">
        <v>109</v>
      </c>
    </row>
    <row r="125" customFormat="false" ht="15" hidden="false" customHeight="true" outlineLevel="0" collapsed="false">
      <c r="B125" s="55" t="s">
        <v>215</v>
      </c>
      <c r="C125" s="55"/>
      <c r="D125" s="56" t="s">
        <v>103</v>
      </c>
    </row>
    <row r="126" customFormat="false" ht="15" hidden="false" customHeight="true" outlineLevel="0" collapsed="false">
      <c r="B126" s="55" t="s">
        <v>216</v>
      </c>
      <c r="C126" s="55"/>
      <c r="D126" s="56" t="s">
        <v>166</v>
      </c>
    </row>
    <row r="127" customFormat="false" ht="15" hidden="false" customHeight="true" outlineLevel="0" collapsed="false">
      <c r="B127" s="55" t="s">
        <v>217</v>
      </c>
      <c r="C127" s="55"/>
      <c r="D127" s="56" t="s">
        <v>218</v>
      </c>
    </row>
    <row r="128" customFormat="false" ht="15" hidden="false" customHeight="true" outlineLevel="0" collapsed="false">
      <c r="A128" s="54" t="s">
        <v>110</v>
      </c>
    </row>
    <row r="129" customFormat="false" ht="27.75" hidden="false" customHeight="true" outlineLevel="0" collapsed="false">
      <c r="A129" s="57" t="n">
        <v>1</v>
      </c>
      <c r="B129" s="58" t="s">
        <v>219</v>
      </c>
      <c r="C129" s="58"/>
      <c r="D129" s="58"/>
    </row>
    <row r="130" customFormat="false" ht="27.75" hidden="false" customHeight="true" outlineLevel="0" collapsed="false">
      <c r="A130" s="57" t="n">
        <v>2</v>
      </c>
      <c r="B130" s="58" t="s">
        <v>220</v>
      </c>
      <c r="C130" s="58"/>
      <c r="D130" s="58"/>
    </row>
    <row r="131" customFormat="false" ht="27.75" hidden="false" customHeight="true" outlineLevel="0" collapsed="false">
      <c r="A131" s="57" t="n">
        <v>3</v>
      </c>
      <c r="B131" s="58" t="s">
        <v>221</v>
      </c>
      <c r="C131" s="58"/>
      <c r="D131" s="58"/>
    </row>
    <row r="132" customFormat="false" ht="15.75" hidden="false" customHeight="true" outlineLevel="0" collapsed="false">
      <c r="A132" s="57" t="n">
        <v>4</v>
      </c>
      <c r="B132" s="58" t="s">
        <v>222</v>
      </c>
      <c r="C132" s="58"/>
      <c r="D132" s="58"/>
    </row>
    <row r="134" customFormat="false" ht="21.75" hidden="false" customHeight="true" outlineLevel="0" collapsed="false">
      <c r="A134" s="51" t="n">
        <v>10</v>
      </c>
      <c r="B134" s="52" t="s">
        <v>223</v>
      </c>
      <c r="C134" s="52"/>
      <c r="D134" s="52"/>
    </row>
    <row r="135" customFormat="false" ht="15" hidden="false" customHeight="true" outlineLevel="0" collapsed="false">
      <c r="A135" s="53" t="s">
        <v>224</v>
      </c>
      <c r="B135" s="53"/>
      <c r="C135" s="53"/>
      <c r="D135" s="53"/>
    </row>
    <row r="136" customFormat="false" ht="15" hidden="false" customHeight="true" outlineLevel="0" collapsed="false">
      <c r="A136" s="54" t="s">
        <v>99</v>
      </c>
    </row>
    <row r="137" customFormat="false" ht="15" hidden="false" customHeight="true" outlineLevel="0" collapsed="false">
      <c r="B137" s="55" t="s">
        <v>225</v>
      </c>
      <c r="C137" s="55"/>
      <c r="D137" s="56" t="s">
        <v>226</v>
      </c>
    </row>
    <row r="138" customFormat="false" ht="15" hidden="false" customHeight="true" outlineLevel="0" collapsed="false">
      <c r="B138" s="55" t="s">
        <v>227</v>
      </c>
      <c r="C138" s="55"/>
      <c r="D138" s="56" t="s">
        <v>125</v>
      </c>
    </row>
    <row r="139" customFormat="false" ht="15" hidden="false" customHeight="true" outlineLevel="0" collapsed="false">
      <c r="B139" s="55" t="s">
        <v>228</v>
      </c>
      <c r="C139" s="55"/>
      <c r="D139" s="56" t="s">
        <v>107</v>
      </c>
    </row>
    <row r="140" customFormat="false" ht="15" hidden="false" customHeight="true" outlineLevel="0" collapsed="false">
      <c r="B140" s="55" t="s">
        <v>229</v>
      </c>
      <c r="C140" s="55"/>
      <c r="D140" s="56" t="s">
        <v>230</v>
      </c>
    </row>
    <row r="141" customFormat="false" ht="15" hidden="false" customHeight="true" outlineLevel="0" collapsed="false">
      <c r="A141" s="54" t="s">
        <v>110</v>
      </c>
    </row>
    <row r="142" customFormat="false" ht="27.75" hidden="false" customHeight="true" outlineLevel="0" collapsed="false">
      <c r="A142" s="57" t="n">
        <v>1</v>
      </c>
      <c r="B142" s="58" t="s">
        <v>231</v>
      </c>
      <c r="C142" s="58"/>
      <c r="D142" s="58"/>
    </row>
    <row r="143" customFormat="false" ht="27.75" hidden="false" customHeight="true" outlineLevel="0" collapsed="false">
      <c r="A143" s="57" t="n">
        <v>2</v>
      </c>
      <c r="B143" s="58" t="s">
        <v>232</v>
      </c>
      <c r="C143" s="58"/>
      <c r="D143" s="58"/>
    </row>
    <row r="144" customFormat="false" ht="27.75" hidden="false" customHeight="true" outlineLevel="0" collapsed="false">
      <c r="A144" s="57" t="n">
        <v>3</v>
      </c>
      <c r="B144" s="58" t="s">
        <v>233</v>
      </c>
      <c r="C144" s="58"/>
      <c r="D144" s="58"/>
    </row>
    <row r="145" customFormat="false" ht="15.75" hidden="false" customHeight="true" outlineLevel="0" collapsed="false">
      <c r="A145" s="57" t="n">
        <v>4</v>
      </c>
      <c r="B145" s="58" t="s">
        <v>234</v>
      </c>
      <c r="C145" s="58"/>
      <c r="D145" s="58"/>
    </row>
  </sheetData>
  <mergeCells count="114">
    <mergeCell ref="A2:D2"/>
    <mergeCell ref="B4:D4"/>
    <mergeCell ref="A5:D5"/>
    <mergeCell ref="B7:C7"/>
    <mergeCell ref="B8:C8"/>
    <mergeCell ref="B9:C9"/>
    <mergeCell ref="B10:C10"/>
    <mergeCell ref="B11:C11"/>
    <mergeCell ref="B13:D13"/>
    <mergeCell ref="B14:D14"/>
    <mergeCell ref="B15:D15"/>
    <mergeCell ref="B16:D16"/>
    <mergeCell ref="B17:D17"/>
    <mergeCell ref="B19:D19"/>
    <mergeCell ref="A20:D20"/>
    <mergeCell ref="B22:C22"/>
    <mergeCell ref="B23:C23"/>
    <mergeCell ref="B24:C24"/>
    <mergeCell ref="B25:C25"/>
    <mergeCell ref="B26:C26"/>
    <mergeCell ref="B27:C27"/>
    <mergeCell ref="B29:D29"/>
    <mergeCell ref="B30:D30"/>
    <mergeCell ref="B31:D31"/>
    <mergeCell ref="B32:D32"/>
    <mergeCell ref="B33:D33"/>
    <mergeCell ref="B35:D35"/>
    <mergeCell ref="A36:D36"/>
    <mergeCell ref="B38:C38"/>
    <mergeCell ref="B39:C39"/>
    <mergeCell ref="B40:C40"/>
    <mergeCell ref="B41:C41"/>
    <mergeCell ref="B42:C42"/>
    <mergeCell ref="B44:D44"/>
    <mergeCell ref="B45:D45"/>
    <mergeCell ref="B46:D46"/>
    <mergeCell ref="B47:D47"/>
    <mergeCell ref="B49:D49"/>
    <mergeCell ref="A50:D50"/>
    <mergeCell ref="B52:C52"/>
    <mergeCell ref="B53:C53"/>
    <mergeCell ref="B54:C54"/>
    <mergeCell ref="B55:C55"/>
    <mergeCell ref="B56:C56"/>
    <mergeCell ref="B58:D58"/>
    <mergeCell ref="B59:D59"/>
    <mergeCell ref="B60:D60"/>
    <mergeCell ref="B61:D61"/>
    <mergeCell ref="B62:D62"/>
    <mergeCell ref="B64:D64"/>
    <mergeCell ref="A65:D65"/>
    <mergeCell ref="B67:C67"/>
    <mergeCell ref="B68:C68"/>
    <mergeCell ref="B69:C69"/>
    <mergeCell ref="B70:C70"/>
    <mergeCell ref="B71:C71"/>
    <mergeCell ref="B73:D73"/>
    <mergeCell ref="B74:D74"/>
    <mergeCell ref="B75:D75"/>
    <mergeCell ref="B76:D76"/>
    <mergeCell ref="B77:D77"/>
    <mergeCell ref="B79:D79"/>
    <mergeCell ref="A80:D80"/>
    <mergeCell ref="B82:C82"/>
    <mergeCell ref="B83:C83"/>
    <mergeCell ref="B84:C84"/>
    <mergeCell ref="B85:C85"/>
    <mergeCell ref="B86:C86"/>
    <mergeCell ref="B88:D88"/>
    <mergeCell ref="B89:D89"/>
    <mergeCell ref="B90:D90"/>
    <mergeCell ref="B92:D92"/>
    <mergeCell ref="A93:D93"/>
    <mergeCell ref="B95:C95"/>
    <mergeCell ref="B96:C96"/>
    <mergeCell ref="B97:C97"/>
    <mergeCell ref="B98:C98"/>
    <mergeCell ref="B100:D100"/>
    <mergeCell ref="B101:D101"/>
    <mergeCell ref="B102:D102"/>
    <mergeCell ref="B103:D103"/>
    <mergeCell ref="B105:D105"/>
    <mergeCell ref="A106:D106"/>
    <mergeCell ref="B108:C108"/>
    <mergeCell ref="B109:C109"/>
    <mergeCell ref="B110:C110"/>
    <mergeCell ref="B111:C111"/>
    <mergeCell ref="B112:C112"/>
    <mergeCell ref="B114:D114"/>
    <mergeCell ref="B115:D115"/>
    <mergeCell ref="B116:D116"/>
    <mergeCell ref="B117:D117"/>
    <mergeCell ref="B118:D118"/>
    <mergeCell ref="B120:D120"/>
    <mergeCell ref="A121:D121"/>
    <mergeCell ref="B123:C123"/>
    <mergeCell ref="B124:C124"/>
    <mergeCell ref="B125:C125"/>
    <mergeCell ref="B126:C126"/>
    <mergeCell ref="B127:C127"/>
    <mergeCell ref="B129:D129"/>
    <mergeCell ref="B130:D130"/>
    <mergeCell ref="B131:D131"/>
    <mergeCell ref="B132:D132"/>
    <mergeCell ref="B134:D134"/>
    <mergeCell ref="A135:D135"/>
    <mergeCell ref="B137:C137"/>
    <mergeCell ref="B138:C138"/>
    <mergeCell ref="B139:C139"/>
    <mergeCell ref="B140:C140"/>
    <mergeCell ref="B142:D142"/>
    <mergeCell ref="B143:D143"/>
    <mergeCell ref="B144:D144"/>
    <mergeCell ref="B145:D1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2026-10-24T11:05:59Z</dcterms:created>
  <dc:creator>openpyxl</dc:creator>
  <dc:description/>
  <dc:language>en-US</dc:language>
  <cp:lastModifiedBy/>
  <dcterms:modified xsi:type="dcterms:W3CDTF">2026-10-25T11:52:49Z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