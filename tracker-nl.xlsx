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Weekplan" sheetId="2" state="visible" r:id="rId2"/>
    <sheet xmlns:r="http://schemas.openxmlformats.org/officeDocument/2006/relationships" name="Gewicht" sheetId="3" state="visible" r:id="rId3"/>
    <sheet xmlns:r="http://schemas.openxmlformats.org/officeDocument/2006/relationships" name="Boodschappen" sheetId="4" state="visible" r:id="rId4"/>
    <sheet xmlns:r="http://schemas.openxmlformats.org/officeDocument/2006/relationships" name="Recepte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0.0&quot; kg&quot;"/>
    <numFmt numFmtId="165" formatCode="\+0.0&quot; kg&quot;;\-0.0&quot; kg&quot;;0.0&quot; kg&quot;"/>
    <numFmt numFmtId="166" formatCode="#,##0&quot; kcal&quot;"/>
    <numFmt numFmtId="167" formatCode="0&quot; g&quot;"/>
    <numFmt numFmtId="168" formatCode="dd\-mm\-yyyy"/>
    <numFmt numFmtId="169" formatCode="0.0"/>
    <numFmt numFmtId="170" formatCode="\+0.0;\-0.0"/>
  </numFmts>
  <fonts count="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b val="1"/>
      <color rgb="FF0A0A0A"/>
      <sz val="18"/>
    </font>
    <font>
      <name val="Arial"/>
      <charset val="1"/>
      <family val="0"/>
      <b val="1"/>
      <color rgb="FF8C8C8C"/>
      <sz val="10"/>
    </font>
    <font>
      <name val="Arial"/>
      <charset val="1"/>
      <family val="0"/>
      <b val="1"/>
      <color rgb="FF8C8C8C"/>
      <sz val="9"/>
    </font>
    <font>
      <name val="Arial"/>
      <charset val="1"/>
      <family val="0"/>
      <b val="1"/>
      <color rgb="FF0A0A0A"/>
      <sz val="24"/>
    </font>
    <font>
      <name val="Arial"/>
      <charset val="1"/>
      <family val="0"/>
      <b val="1"/>
      <color rgb="FF1F9D55"/>
      <sz val="24"/>
    </font>
    <font>
      <name val="Arial"/>
      <charset val="1"/>
      <family val="0"/>
      <b val="1"/>
      <color rgb="FF1F9D55"/>
      <sz val="16"/>
    </font>
    <font>
      <name val="Arial"/>
      <charset val="1"/>
      <family val="0"/>
      <b val="1"/>
      <color rgb="FF0A0A0A"/>
      <sz val="11"/>
    </font>
    <font>
      <name val="Arial"/>
      <charset val="1"/>
      <family val="0"/>
      <b val="1"/>
      <color rgb="FFE8321E"/>
      <sz val="11"/>
    </font>
    <font>
      <name val="Arial"/>
      <charset val="1"/>
      <family val="0"/>
      <b val="1"/>
      <color rgb="FFE8321E"/>
      <sz val="12"/>
    </font>
    <font>
      <name val="Arial"/>
      <charset val="1"/>
      <family val="0"/>
      <b val="1"/>
      <color rgb="FFE8321E"/>
      <sz val="9"/>
    </font>
    <font>
      <name val="Arial"/>
      <charset val="1"/>
      <family val="0"/>
      <color rgb="FF0A0A0A"/>
      <sz val="11"/>
    </font>
    <font>
      <name val="Arial"/>
      <charset val="1"/>
      <family val="0"/>
      <b val="1"/>
      <color rgb="FF0A0A0A"/>
      <sz val="13"/>
    </font>
    <font>
      <name val="Arial"/>
      <charset val="1"/>
      <family val="0"/>
      <color rgb="FF444444"/>
      <sz val="10"/>
    </font>
    <font>
      <name val="Calibri"/>
      <family val="2"/>
      <color rgb="FF000000"/>
      <sz val="10"/>
    </font>
    <font>
      <name val="Arial"/>
      <charset val="1"/>
      <family val="0"/>
      <b val="1"/>
      <color rgb="FF0A0A0A"/>
      <sz val="15"/>
    </font>
    <font>
      <name val="Arial"/>
      <charset val="1"/>
      <family val="0"/>
      <i val="1"/>
      <color rgb="FF8C8C8C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A0A0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8C8C8C"/>
      <sz val="9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E8321E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rgb="FF0A0A0A"/>
      <sz val="14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0A0A0A"/>
      <sz val="10"/>
    </font>
  </fonts>
  <fills count="9">
    <fill>
      <patternFill/>
    </fill>
    <fill>
      <patternFill patternType="gray125"/>
    </fill>
    <fill>
      <patternFill patternType="solid">
        <fgColor rgb="FFE8321E"/>
        <bgColor rgb="FFFF6600"/>
      </patternFill>
    </fill>
    <fill>
      <patternFill patternType="solid">
        <fgColor rgb="FFFAFAFA"/>
        <bgColor rgb="FFFBFBFB"/>
      </patternFill>
    </fill>
    <fill>
      <patternFill patternType="solid">
        <fgColor rgb="FFFFF0ED"/>
        <bgColor rgb="FFF6F6F6"/>
      </patternFill>
    </fill>
    <fill>
      <patternFill patternType="solid">
        <fgColor rgb="FFFBFBFB"/>
        <bgColor rgb="FFFAFAFA"/>
      </patternFill>
    </fill>
    <fill>
      <patternFill patternType="solid">
        <fgColor rgb="FF0A0A0A"/>
        <bgColor rgb="FF000000"/>
      </patternFill>
    </fill>
    <fill>
      <patternFill patternType="solid">
        <fgColor rgb="FFF6F6F6"/>
        <bgColor rgb="FFFAFAFA"/>
      </patternFill>
    </fill>
    <fill>
      <patternFill patternType="solid">
        <fgColor rgb="FFFFF4CC"/>
        <bgColor rgb="FFFFF0ED"/>
      </patternFill>
    </fill>
  </fills>
  <borders count="25">
    <border>
      <left/>
      <right/>
      <top/>
      <bottom/>
      <diagonal/>
    </border>
    <border>
      <left style="thick">
        <color rgb="FFE8321E"/>
      </left>
      <right style="thin">
        <color rgb="FFE6E6E6"/>
      </right>
      <top style="thin">
        <color rgb="FFE6E6E6"/>
      </top>
      <bottom/>
      <diagonal/>
    </border>
    <border>
      <left style="thick">
        <color rgb="FF1F9D55"/>
      </left>
      <right style="thin">
        <color rgb="FFE6E6E6"/>
      </right>
      <top style="thin">
        <color rgb="FFE6E6E6"/>
      </top>
      <bottom/>
      <diagonal/>
    </border>
    <border>
      <left style="thick">
        <color rgb="FFE8321E"/>
      </left>
      <right style="thin">
        <color rgb="FFE6E6E6"/>
      </right>
      <top/>
      <bottom style="thin">
        <color rgb="FFE6E6E6"/>
      </bottom>
      <diagonal/>
    </border>
    <border>
      <left style="thick">
        <color rgb="FF1F9D55"/>
      </left>
      <right style="thin">
        <color rgb="FFE6E6E6"/>
      </right>
      <top/>
      <bottom style="thin">
        <color rgb="FFE6E6E6"/>
      </bottom>
      <diagonal/>
    </border>
    <border>
      <left style="thick">
        <color rgb="FFE8321E"/>
      </left>
      <right/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/>
      <right/>
      <top style="medium">
        <color rgb="FF0A0A0A"/>
      </top>
      <bottom/>
      <diagonal/>
    </border>
    <border>
      <left style="thick">
        <color rgb="FF1F9D55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ck">
        <color rgb="FFFF6A52"/>
      </left>
      <right style="thin">
        <color rgb="FFE6E6E6"/>
      </right>
      <top style="thin">
        <color rgb="FFE6E6E6"/>
      </top>
      <bottom/>
      <diagonal/>
    </border>
    <border>
      <left style="thick">
        <color rgb="FFB9B9B9"/>
      </left>
      <right style="thin">
        <color rgb="FFE6E6E6"/>
      </right>
      <top style="thin">
        <color rgb="FFE6E6E6"/>
      </top>
      <bottom/>
      <diagonal/>
    </border>
    <border>
      <left style="thick">
        <color rgb="FFFF6A52"/>
      </left>
      <right style="thin">
        <color rgb="FFE6E6E6"/>
      </right>
      <top/>
      <bottom style="thin">
        <color rgb="FFE6E6E6"/>
      </bottom>
      <diagonal/>
    </border>
    <border>
      <left style="thick">
        <color rgb="FFB9B9B9"/>
      </left>
      <right style="thin">
        <color rgb="FFE6E6E6"/>
      </right>
      <top/>
      <bottom style="thin">
        <color rgb="FFE6E6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E6E6E6"/>
      </top>
      <bottom/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ck">
        <color rgb="FFE8321E"/>
      </left>
      <right/>
      <top/>
      <bottom/>
      <diagonal/>
    </border>
    <border>
      <left/>
      <right style="thin">
        <color rgb="FFE6E6E6"/>
      </right>
      <top/>
      <bottom/>
      <diagonal/>
    </border>
    <border>
      <left style="thick">
        <color rgb="FFE8321E"/>
      </left>
      <right/>
      <top/>
      <bottom style="thin">
        <color rgb="FFE6E6E6"/>
      </bottom>
      <diagonal/>
    </border>
    <border>
      <left/>
      <right/>
      <top/>
      <bottom style="thin">
        <color rgb="FFE6E6E6"/>
      </bottom>
      <diagonal/>
    </border>
    <border>
      <left/>
      <right style="thin">
        <color rgb="FFE6E6E6"/>
      </right>
      <top/>
      <bottom style="thin">
        <color rgb="FFE6E6E6"/>
      </bottom>
      <diagonal/>
    </border>
    <border>
      <left style="thick">
        <color rgb="FF1F9D55"/>
      </left>
      <right/>
      <top/>
      <bottom/>
      <diagonal/>
    </border>
    <border>
      <left style="thick">
        <color rgb="FF1F9D55"/>
      </left>
      <right/>
      <top/>
      <bottom style="thin">
        <color rgb="FFE6E6E6"/>
      </bottom>
      <diagonal/>
    </border>
    <border>
      <left/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left" vertical="center" indent="1"/>
    </xf>
    <xf numFmtId="164" fontId="8" fillId="3" borderId="3" applyAlignment="1" pivotButton="0" quotePrefix="0" xfId="0">
      <alignment horizontal="left" vertical="center" indent="1"/>
    </xf>
    <xf numFmtId="165" fontId="9" fillId="3" borderId="4" applyAlignment="1" pivotButton="0" quotePrefix="0" xfId="0">
      <alignment horizontal="left" vertical="center" indent="1"/>
    </xf>
    <xf numFmtId="0" fontId="10" fillId="3" borderId="4" applyAlignment="1" pivotButton="0" quotePrefix="0" xfId="0">
      <alignment horizontal="left" vertical="center" indent="1"/>
    </xf>
    <xf numFmtId="166" fontId="8" fillId="3" borderId="3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horizontal="left" vertical="center" indent="1"/>
    </xf>
    <xf numFmtId="3" fontId="11" fillId="0" borderId="6" applyAlignment="1" pivotButton="0" quotePrefix="0" xfId="0">
      <alignment horizontal="right" vertical="center"/>
    </xf>
    <xf numFmtId="0" fontId="6" fillId="0" borderId="7" applyAlignment="1" pivotButton="0" quotePrefix="0" xfId="0">
      <alignment horizontal="left" vertical="center" indent="1"/>
    </xf>
    <xf numFmtId="166" fontId="16" fillId="0" borderId="7" applyAlignment="1" pivotButton="0" quotePrefix="0" xfId="0">
      <alignment horizontal="right" vertical="center"/>
    </xf>
    <xf numFmtId="0" fontId="17" fillId="5" borderId="8" applyAlignment="1" pivotButton="0" quotePrefix="0" xfId="0">
      <alignment horizontal="left" vertical="center" indent="1"/>
    </xf>
    <xf numFmtId="0" fontId="7" fillId="3" borderId="9" applyAlignment="1" pivotButton="0" quotePrefix="0" xfId="0">
      <alignment horizontal="left" vertical="center" indent="1"/>
    </xf>
    <xf numFmtId="0" fontId="7" fillId="3" borderId="10" applyAlignment="1" pivotButton="0" quotePrefix="0" xfId="0">
      <alignment horizontal="left" vertical="center" indent="1"/>
    </xf>
    <xf numFmtId="167" fontId="5" fillId="3" borderId="3" applyAlignment="1" pivotButton="0" quotePrefix="0" xfId="0">
      <alignment horizontal="left" vertical="center" indent="1"/>
    </xf>
    <xf numFmtId="167" fontId="5" fillId="3" borderId="11" applyAlignment="1" pivotButton="0" quotePrefix="0" xfId="0">
      <alignment horizontal="left" vertical="center" indent="1"/>
    </xf>
    <xf numFmtId="167" fontId="5" fillId="3" borderId="12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7" borderId="6" applyAlignment="1" pivotButton="0" quotePrefix="0" xfId="0">
      <alignment horizontal="general" vertical="bottom"/>
    </xf>
    <xf numFmtId="0" fontId="22" fillId="7" borderId="6" applyAlignment="1" pivotButton="0" quotePrefix="0" xfId="0">
      <alignment horizontal="center" vertical="bottom"/>
    </xf>
    <xf numFmtId="0" fontId="23" fillId="6" borderId="0" applyAlignment="1" pivotButton="0" quotePrefix="0" xfId="0">
      <alignment horizontal="general" vertical="bottom"/>
    </xf>
    <xf numFmtId="168" fontId="22" fillId="0" borderId="6" applyAlignment="1" pivotButton="0" quotePrefix="0" xfId="0">
      <alignment horizontal="center" vertical="bottom"/>
    </xf>
    <xf numFmtId="169" fontId="24" fillId="0" borderId="6" applyAlignment="1" pivotButton="0" quotePrefix="0" xfId="0">
      <alignment horizontal="center" vertical="bottom"/>
    </xf>
    <xf numFmtId="0" fontId="22" fillId="0" borderId="6" applyAlignment="1" pivotButton="0" quotePrefix="0" xfId="0">
      <alignment horizontal="left" vertical="bottom"/>
    </xf>
    <xf numFmtId="0" fontId="25" fillId="0" borderId="13" applyAlignment="1" pivotButton="0" quotePrefix="0" xfId="0">
      <alignment horizontal="general" vertical="bottom"/>
    </xf>
    <xf numFmtId="0" fontId="26" fillId="8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170" fontId="22" fillId="0" borderId="6" applyAlignment="1" pivotButton="0" quotePrefix="0" xfId="0">
      <alignment horizontal="center" vertical="bottom"/>
    </xf>
    <xf numFmtId="0" fontId="28" fillId="0" borderId="13" applyAlignment="1" pivotButton="0" quotePrefix="0" xfId="0">
      <alignment horizontal="center" vertical="bottom"/>
    </xf>
    <xf numFmtId="0" fontId="29" fillId="3" borderId="13" applyAlignment="1" pivotButton="0" quotePrefix="0" xfId="0">
      <alignment horizontal="general" vertical="bottom"/>
    </xf>
    <xf numFmtId="0" fontId="30" fillId="0" borderId="13" applyAlignment="1" pivotButton="0" quotePrefix="0" xfId="0">
      <alignment horizontal="center" vertical="bottom"/>
    </xf>
    <xf numFmtId="0" fontId="31" fillId="0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top" wrapText="1"/>
    </xf>
    <xf numFmtId="0" fontId="32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30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general" vertical="center" indent="1"/>
    </xf>
    <xf numFmtId="0" fontId="35" fillId="3" borderId="0" applyAlignment="1" pivotButton="0" quotePrefix="0" xfId="0">
      <alignment horizontal="general" vertical="bottom" indent="1"/>
    </xf>
    <xf numFmtId="0" fontId="7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indent="1"/>
    </xf>
    <xf numFmtId="0" fontId="36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center" vertical="top"/>
    </xf>
    <xf numFmtId="0" fontId="25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7" fillId="3" borderId="2" applyAlignment="1" pivotButton="0" quotePrefix="0" xfId="0">
      <alignment horizontal="left" vertical="center" indent="1"/>
    </xf>
    <xf numFmtId="164" fontId="8" fillId="3" borderId="3" applyAlignment="1" pivotButton="0" quotePrefix="0" xfId="0">
      <alignment horizontal="left" vertical="center" indent="1"/>
    </xf>
    <xf numFmtId="0" fontId="0" fillId="0" borderId="17" pivotButton="0" quotePrefix="0" xfId="0"/>
    <xf numFmtId="165" fontId="9" fillId="3" borderId="4" applyAlignment="1" pivotButton="0" quotePrefix="0" xfId="0">
      <alignment horizontal="left" vertical="center" indent="1"/>
    </xf>
    <xf numFmtId="0" fontId="10" fillId="3" borderId="4" applyAlignment="1" pivotButton="0" quotePrefix="0" xfId="0">
      <alignment horizontal="left" vertical="center" indent="1"/>
    </xf>
    <xf numFmtId="166" fontId="8" fillId="3" borderId="3" applyAlignment="1" pivotButton="0" quotePrefix="0" xfId="0">
      <alignment horizontal="left" vertical="center" indent="1"/>
    </xf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5" applyAlignment="1" pivotButton="0" quotePrefix="0" xfId="0">
      <alignment horizontal="center" vertical="center"/>
    </xf>
    <xf numFmtId="0" fontId="0" fillId="0" borderId="23" pivotButton="0" quotePrefix="0" xfId="0"/>
    <xf numFmtId="0" fontId="13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horizontal="left" vertical="center" indent="1"/>
    </xf>
    <xf numFmtId="0" fontId="0" fillId="0" borderId="24" pivotButton="0" quotePrefix="0" xfId="0"/>
    <xf numFmtId="3" fontId="11" fillId="0" borderId="6" applyAlignment="1" pivotButton="0" quotePrefix="0" xfId="0">
      <alignment horizontal="right" vertical="center"/>
    </xf>
    <xf numFmtId="0" fontId="6" fillId="0" borderId="7" applyAlignment="1" pivotButton="0" quotePrefix="0" xfId="0">
      <alignment horizontal="left" vertical="center" indent="1"/>
    </xf>
    <xf numFmtId="0" fontId="0" fillId="0" borderId="7" pivotButton="0" quotePrefix="0" xfId="0"/>
    <xf numFmtId="166" fontId="16" fillId="0" borderId="7" applyAlignment="1" pivotButton="0" quotePrefix="0" xfId="0">
      <alignment horizontal="right" vertical="center"/>
    </xf>
    <xf numFmtId="0" fontId="17" fillId="5" borderId="8" applyAlignment="1" pivotButton="0" quotePrefix="0" xfId="0">
      <alignment horizontal="left" vertical="center" indent="1"/>
    </xf>
    <xf numFmtId="0" fontId="7" fillId="3" borderId="9" applyAlignment="1" pivotButton="0" quotePrefix="0" xfId="0">
      <alignment horizontal="left" vertical="center" indent="1"/>
    </xf>
    <xf numFmtId="0" fontId="7" fillId="3" borderId="10" applyAlignment="1" pivotButton="0" quotePrefix="0" xfId="0">
      <alignment horizontal="left" vertical="center" indent="1"/>
    </xf>
    <xf numFmtId="167" fontId="5" fillId="3" borderId="3" applyAlignment="1" pivotButton="0" quotePrefix="0" xfId="0">
      <alignment horizontal="left" vertical="center" indent="1"/>
    </xf>
    <xf numFmtId="167" fontId="5" fillId="3" borderId="11" applyAlignment="1" pivotButton="0" quotePrefix="0" xfId="0">
      <alignment horizontal="left" vertical="center" indent="1"/>
    </xf>
    <xf numFmtId="167" fontId="5" fillId="3" borderId="12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7" borderId="6" applyAlignment="1" pivotButton="0" quotePrefix="0" xfId="0">
      <alignment horizontal="general" vertical="bottom"/>
    </xf>
    <xf numFmtId="0" fontId="22" fillId="7" borderId="6" applyAlignment="1" pivotButton="0" quotePrefix="0" xfId="0">
      <alignment horizontal="center" vertical="bottom"/>
    </xf>
    <xf numFmtId="0" fontId="23" fillId="6" borderId="0" applyAlignment="1" pivotButton="0" quotePrefix="0" xfId="0">
      <alignment horizontal="general" vertical="bottom"/>
    </xf>
    <xf numFmtId="168" fontId="22" fillId="0" borderId="6" applyAlignment="1" pivotButton="0" quotePrefix="0" xfId="0">
      <alignment horizontal="center" vertical="bottom"/>
    </xf>
    <xf numFmtId="169" fontId="24" fillId="0" borderId="6" applyAlignment="1" pivotButton="0" quotePrefix="0" xfId="0">
      <alignment horizontal="center" vertical="bottom"/>
    </xf>
    <xf numFmtId="0" fontId="22" fillId="0" borderId="6" applyAlignment="1" pivotButton="0" quotePrefix="0" xfId="0">
      <alignment horizontal="left" vertical="bottom"/>
    </xf>
    <xf numFmtId="0" fontId="25" fillId="0" borderId="13" applyAlignment="1" pivotButton="0" quotePrefix="0" xfId="0">
      <alignment horizontal="general" vertical="bottom"/>
    </xf>
    <xf numFmtId="0" fontId="26" fillId="8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170" fontId="22" fillId="0" borderId="6" applyAlignment="1" pivotButton="0" quotePrefix="0" xfId="0">
      <alignment horizontal="center" vertical="bottom"/>
    </xf>
    <xf numFmtId="0" fontId="28" fillId="0" borderId="13" applyAlignment="1" pivotButton="0" quotePrefix="0" xfId="0">
      <alignment horizontal="center" vertical="bottom"/>
    </xf>
    <xf numFmtId="0" fontId="29" fillId="3" borderId="13" applyAlignment="1" pivotButton="0" quotePrefix="0" xfId="0">
      <alignment horizontal="general" vertical="bottom"/>
    </xf>
    <xf numFmtId="0" fontId="30" fillId="0" borderId="13" applyAlignment="1" pivotButton="0" quotePrefix="0" xfId="0">
      <alignment horizontal="center" vertical="bottom"/>
    </xf>
    <xf numFmtId="0" fontId="31" fillId="0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top" wrapText="1"/>
    </xf>
    <xf numFmtId="0" fontId="32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0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general" vertical="center" indent="1"/>
    </xf>
    <xf numFmtId="0" fontId="35" fillId="3" borderId="0" applyAlignment="1" pivotButton="0" quotePrefix="0" xfId="0">
      <alignment horizontal="general" vertical="bottom" indent="1"/>
    </xf>
    <xf numFmtId="0" fontId="7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indent="1"/>
    </xf>
    <xf numFmtId="0" fontId="36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center" vertical="top"/>
    </xf>
    <xf numFmtId="0" fontId="25" fillId="0" borderId="0" applyAlignment="1" pivotButton="0" quotePrefix="0" xfId="0">
      <alignment horizontal="general" vertical="top" wrapText="1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E8321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9B9"/>
      <rgbColor rgb="FF878787"/>
      <rgbColor rgb="FF9999FF"/>
      <rgbColor rgb="FF993366"/>
      <rgbColor rgb="FFFFF4CC"/>
      <rgbColor rgb="FFF6F6F6"/>
      <rgbColor rgb="FF660066"/>
      <rgbColor rgb="FFFF6A52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FAFAFA"/>
      <rgbColor rgb="FFFFF0ED"/>
      <rgbColor rgb="FF99CCFF"/>
      <rgbColor rgb="FFFF99CC"/>
      <rgbColor rgb="FFCC99FF"/>
      <rgbColor rgb="FFFBFBFB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1F9D55"/>
      <rgbColor rgb="FF0A0A0A"/>
      <rgbColor rgb="FF444444"/>
      <rgbColor rgb="FF9933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Gewicht!B3</f>
              <strCache>
                <ptCount val="1"/>
                <pt idx="0">
                  <v>Gewicht (kg)</v>
                </pt>
              </strCache>
            </strRef>
          </tx>
          <spPr>
            <a:solidFill xmlns:a="http://schemas.openxmlformats.org/drawingml/2006/main">
              <a:srgbClr val="e8321e"/>
            </a:solidFill>
            <a:ln xmlns:a="http://schemas.openxmlformats.org/drawingml/2006/main" w="28080">
              <a:solidFill>
                <a:srgbClr val="e8321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Gewicht!$A$4:$A$30</f>
              <strCache>
                <ptCount val="27"/>
                <pt idx="0">
                  <v>06-09-2026</v>
                </pt>
                <pt idx="1">
                  <v>13-09-2026</v>
                </pt>
                <pt idx="2">
                  <v>20-09-2026</v>
                </pt>
                <pt idx="3">
                  <v>27-09-2026</v>
                </pt>
                <pt idx="4">
                  <v>04-10-2026</v>
                </pt>
                <pt idx="5">
                  <v>11-10-2026</v>
                </pt>
                <pt idx="6">
                  <v>18-10-2026</v>
                </pt>
                <pt idx="7">
                  <v>25-10-2026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</strCache>
            </strRef>
          </cat>
          <val>
            <numRef>
              <f>Gewicht!$B$4:$B$30</f>
              <numCache>
                <formatCode>0.0</formatCode>
                <ptCount val="27"/>
                <pt idx="0">
                  <v>88.59999999999999</v>
                </pt>
                <pt idx="1">
                  <v>88.2</v>
                </pt>
                <pt idx="2">
                  <v>88.40000000000001</v>
                </pt>
                <pt idx="3">
                  <v>87.90000000000001</v>
                </pt>
                <pt idx="4">
                  <v>87.59999999999999</v>
                </pt>
                <pt idx="5">
                  <v>87.7</v>
                </pt>
                <pt idx="6">
                  <v>87.2</v>
                </pt>
                <pt idx="7">
                  <v>87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19874119"/>
        <axId val="24448832"/>
      </lineChart>
      <catAx>
        <axId val="19874119"/>
        <scaling>
          <orientation val="minMax"/>
        </scaling>
        <delete val="0"/>
        <axPos val="b"/>
        <numFmt formatCode="dd\-mm\-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4448832"/>
        <crosses val="autoZero"/>
        <auto val="1"/>
        <lblAlgn val="ctr"/>
        <lblOffset val="100"/>
        <noMultiLvlLbl val="0"/>
      </catAx>
      <valAx>
        <axId val="24448832"/>
        <scaling>
          <orientation val="minMax"/>
        </scaling>
        <delete val="0"/>
        <axPos val="l"/>
        <numFmt formatCode="0.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9874119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8</row>
      <rowOff>0</rowOff>
    </from>
    <to>
      <col>6</col>
      <colOff>77400</colOff>
      <row>14</row>
      <rowOff>97200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E8321E"/>
    <outlinePr summaryBelow="1" summaryRight="1"/>
    <pageSetUpPr fitToPage="0"/>
  </sheetPr>
  <dimension ref="A1:N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.6" customWidth="1" style="59" min="1" max="12"/>
    <col hidden="1" width="13" customWidth="1" style="59" min="14" max="14"/>
  </cols>
  <sheetData>
    <row r="1" ht="21.75" customHeight="1" s="60">
      <c r="A1" s="61" t="inlineStr">
        <is>
          <t>H</t>
        </is>
      </c>
      <c r="B1" s="62" t="inlineStr">
        <is>
          <t>HYBRIDFUELCO</t>
        </is>
      </c>
      <c r="I1" s="63" t="inlineStr">
        <is>
          <t>VOORTGANGSTRACKER</t>
        </is>
      </c>
      <c r="N1" s="59">
        <f>IF(COUNT(Gewicht!$B$4:$B$30)&gt;=1,INDEX(Gewicht!$B$4:$B$30,COUNT(Gewicht!$B$4:$B$30)),"")</f>
        <v/>
      </c>
    </row>
    <row r="2" ht="19.5" customHeight="1" s="60">
      <c r="N2" s="59">
        <f>IF(COUNT(Gewicht!$B$4:$B$30)&gt;=2,INDEX(Gewicht!$B$4:$B$30,COUNT(Gewicht!$B$4:$B$30))-INDEX(Gewicht!$B$4:$B$30,COUNT(Gewicht!$B$4:$B$30)-1),"")</f>
        <v/>
      </c>
    </row>
    <row r="3" ht="15" customHeight="1" s="60">
      <c r="N3" s="59">
        <f>IF(AND(N1&lt;&gt;"",N2&lt;&gt;""),N2/N1,"")</f>
        <v/>
      </c>
    </row>
    <row r="4" ht="19.5" customHeight="1" s="60">
      <c r="A4" s="64" t="inlineStr">
        <is>
          <t>Huidig gewicht</t>
        </is>
      </c>
      <c r="B4" s="65" t="n"/>
      <c r="C4" s="66" t="n"/>
      <c r="D4" s="67" t="inlineStr">
        <is>
          <t>Laatste verandering</t>
        </is>
      </c>
      <c r="E4" s="65" t="n"/>
      <c r="F4" s="66" t="n"/>
      <c r="G4" s="67" t="inlineStr">
        <is>
          <t>Status</t>
        </is>
      </c>
      <c r="H4" s="65" t="n"/>
      <c r="I4" s="66" t="n"/>
      <c r="J4" s="64" t="inlineStr">
        <is>
          <t>Vandaag</t>
        </is>
      </c>
      <c r="K4" s="65" t="n"/>
      <c r="L4" s="66" t="n"/>
    </row>
    <row r="5" ht="19.5" customHeight="1" s="60">
      <c r="A5" s="68">
        <f>N1</f>
        <v/>
      </c>
      <c r="C5" s="69" t="n"/>
      <c r="D5" s="70">
        <f>N2</f>
        <v/>
      </c>
      <c r="F5" s="69" t="n"/>
      <c r="G5" s="71">
        <f>IF(N3="","",IF(N3&lt;-0.01,"! Te snel",IF(N3&lt;-0.003,"✓ Op koers",IF(N3&lt;=0.003,"– Stabiel",IF(N3&lt;=0.01,"✓ Op koers","! Te snel")))))</f>
        <v/>
      </c>
      <c r="I5" s="69" t="n"/>
      <c r="J5" s="72">
        <f>SUMIFS(Weekplan!$E$4:$E$31,Weekplan!$A$4:$A$31,$K$8)</f>
        <v/>
      </c>
      <c r="L5" s="69" t="n"/>
    </row>
    <row r="6" ht="19.5" customHeight="1" s="60">
      <c r="A6" s="73" t="n"/>
      <c r="B6" s="74" t="n"/>
      <c r="C6" s="75" t="n"/>
      <c r="D6" s="76" t="n"/>
      <c r="E6" s="74" t="n"/>
      <c r="F6" s="75" t="n"/>
      <c r="G6" s="76" t="n"/>
      <c r="H6" s="74" t="n"/>
      <c r="I6" s="75" t="n"/>
      <c r="J6" s="73" t="n"/>
      <c r="K6" s="74" t="n"/>
      <c r="L6" s="75" t="n"/>
    </row>
    <row r="7" ht="7.5" customHeight="1" s="60"/>
    <row r="8" ht="15" customHeight="1" s="60">
      <c r="A8" s="77" t="inlineStr">
        <is>
          <t>Gewichtsverloop</t>
        </is>
      </c>
      <c r="G8" s="78" t="inlineStr">
        <is>
          <t>Vandaag — eten</t>
        </is>
      </c>
      <c r="K8" s="79" t="inlineStr">
        <is>
          <t>Ma</t>
        </is>
      </c>
      <c r="L8" s="80" t="n"/>
    </row>
    <row r="9" ht="27.75" customHeight="1" s="60">
      <c r="G9" s="81" t="n"/>
      <c r="H9" s="82" t="inlineStr">
        <is>
          <t>Ontbijt</t>
        </is>
      </c>
      <c r="I9" s="83">
        <f>IFERROR(INDEX(Weekplan!$C$4:$C$31,MATCH($K$8&amp;"|"&amp;"Ontbijt",Weekplan!$I$4:$I$31,0)),"")</f>
        <v/>
      </c>
      <c r="J9" s="80" t="n"/>
      <c r="K9" s="84" t="n"/>
      <c r="L9" s="85">
        <f>IFERROR(INDEX(Weekplan!$E$4:$E$31,MATCH($K$8&amp;"|"&amp;"Ontbijt",Weekplan!$I$4:$I$31,0)),"")</f>
        <v/>
      </c>
    </row>
    <row r="10" ht="27.75" customHeight="1" s="60">
      <c r="G10" s="81" t="n"/>
      <c r="H10" s="82" t="inlineStr">
        <is>
          <t>Lunch</t>
        </is>
      </c>
      <c r="I10" s="83">
        <f>IFERROR(INDEX(Weekplan!$C$4:$C$31,MATCH($K$8&amp;"|"&amp;"Lunch",Weekplan!$I$4:$I$31,0)),"")</f>
        <v/>
      </c>
      <c r="J10" s="80" t="n"/>
      <c r="K10" s="84" t="n"/>
      <c r="L10" s="85">
        <f>IFERROR(INDEX(Weekplan!$E$4:$E$31,MATCH($K$8&amp;"|"&amp;"Lunch",Weekplan!$I$4:$I$31,0)),"")</f>
        <v/>
      </c>
    </row>
    <row r="11" ht="27.75" customHeight="1" s="60">
      <c r="G11" s="81" t="n"/>
      <c r="H11" s="82" t="inlineStr">
        <is>
          <t>Diner</t>
        </is>
      </c>
      <c r="I11" s="83">
        <f>IFERROR(INDEX(Weekplan!$C$4:$C$31,MATCH($K$8&amp;"|"&amp;"Diner",Weekplan!$I$4:$I$31,0)),"")</f>
        <v/>
      </c>
      <c r="J11" s="80" t="n"/>
      <c r="K11" s="84" t="n"/>
      <c r="L11" s="85">
        <f>IFERROR(INDEX(Weekplan!$E$4:$E$31,MATCH($K$8&amp;"|"&amp;"Diner",Weekplan!$I$4:$I$31,0)),"")</f>
        <v/>
      </c>
    </row>
    <row r="12" ht="27.75" customHeight="1" s="60">
      <c r="G12" s="81" t="n"/>
      <c r="H12" s="82" t="inlineStr">
        <is>
          <t>Snack</t>
        </is>
      </c>
      <c r="I12" s="83">
        <f>IFERROR(INDEX(Weekplan!$C$4:$C$31,MATCH($K$8&amp;"|"&amp;"Snack",Weekplan!$I$4:$I$31,0)),"")</f>
        <v/>
      </c>
      <c r="J12" s="80" t="n"/>
      <c r="K12" s="84" t="n"/>
      <c r="L12" s="85">
        <f>IFERROR(INDEX(Weekplan!$E$4:$E$31,MATCH($K$8&amp;"|"&amp;"Snack",Weekplan!$I$4:$I$31,0)),"")</f>
        <v/>
      </c>
    </row>
    <row r="13" ht="21.75" customHeight="1" s="60">
      <c r="G13" s="86" t="inlineStr">
        <is>
          <t>Dagtotaal</t>
        </is>
      </c>
      <c r="H13" s="87" t="n"/>
      <c r="I13" s="87" t="n"/>
      <c r="J13" s="88">
        <f>SUMIFS(Weekplan!$E$4:$E$31,Weekplan!$A$4:$A$31,$K$8)</f>
        <v/>
      </c>
      <c r="K13" s="87" t="n"/>
      <c r="L13" s="87" t="n"/>
    </row>
    <row r="14" ht="9.75" customHeight="1" s="60"/>
    <row r="15" ht="9.75" customHeight="1" s="60"/>
    <row r="16" ht="30" customHeight="1" s="60">
      <c r="A16" s="89">
        <f>IF(N3="","Verantwoord tempo — ~0,5–1% per week. Zo behoud je spier en herstel.",IF(OR(N3&lt;-0.01,N3&gt;0.01),"Je verandert sneller dan 1% per week. Stel je calorieën iets bij.",IF(N3&gt;-0.003,"Weinig verandering. Geduld, of stel je calorieën iets bij.","Verantwoord tempo — ~0,5–1% per week. Zo behoud je spier en herstel.")))</f>
        <v/>
      </c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4" t="n"/>
    </row>
    <row r="17" ht="7.5" customHeight="1" s="60"/>
    <row r="18" ht="15" customHeight="1" s="60">
      <c r="A18" s="77" t="inlineStr">
        <is>
          <t>Dagmacro's — gekozen dag</t>
        </is>
      </c>
    </row>
    <row r="19" ht="18" customHeight="1" s="60">
      <c r="A19" s="64" t="inlineStr">
        <is>
          <t>Eiwit</t>
        </is>
      </c>
      <c r="B19" s="65" t="n"/>
      <c r="C19" s="65" t="n"/>
      <c r="D19" s="66" t="n"/>
      <c r="E19" s="90" t="inlineStr">
        <is>
          <t>Koolhydraten</t>
        </is>
      </c>
      <c r="F19" s="65" t="n"/>
      <c r="G19" s="65" t="n"/>
      <c r="H19" s="66" t="n"/>
      <c r="I19" s="91" t="inlineStr">
        <is>
          <t>Vet</t>
        </is>
      </c>
      <c r="J19" s="65" t="n"/>
      <c r="K19" s="65" t="n"/>
      <c r="L19" s="66" t="n"/>
    </row>
    <row r="20" ht="25.5" customHeight="1" s="60">
      <c r="A20" s="92">
        <f>SUMIFS(Weekplan!$F$4:$F$31,Weekplan!$A$4:$A$31,$K$8)</f>
        <v/>
      </c>
      <c r="B20" s="74" t="n"/>
      <c r="C20" s="74" t="n"/>
      <c r="D20" s="75" t="n"/>
      <c r="E20" s="93">
        <f>SUMIFS(Weekplan!$G$4:$G$31,Weekplan!$A$4:$A$31,$K$8)</f>
        <v/>
      </c>
      <c r="F20" s="74" t="n"/>
      <c r="G20" s="74" t="n"/>
      <c r="H20" s="75" t="n"/>
      <c r="I20" s="94">
        <f>SUMIFS(Weekplan!$H$4:$H$31,Weekplan!$A$4:$A$31,$K$8)</f>
        <v/>
      </c>
      <c r="J20" s="74" t="n"/>
      <c r="K20" s="74" t="n"/>
      <c r="L20" s="75" t="n"/>
    </row>
  </sheetData>
  <mergeCells count="28">
    <mergeCell ref="A16:L16"/>
    <mergeCell ref="G13:I13"/>
    <mergeCell ref="D5:F6"/>
    <mergeCell ref="A20:D20"/>
    <mergeCell ref="B1:F2"/>
    <mergeCell ref="J5:L6"/>
    <mergeCell ref="I20:L20"/>
    <mergeCell ref="J4:L4"/>
    <mergeCell ref="I12:K12"/>
    <mergeCell ref="A18:L18"/>
    <mergeCell ref="A19:D19"/>
    <mergeCell ref="I19:L19"/>
    <mergeCell ref="D4:F4"/>
    <mergeCell ref="A8:F8"/>
    <mergeCell ref="G4:I4"/>
    <mergeCell ref="A4:C4"/>
    <mergeCell ref="I10:K10"/>
    <mergeCell ref="K8:L8"/>
    <mergeCell ref="G8:J8"/>
    <mergeCell ref="I9:K9"/>
    <mergeCell ref="E20:H20"/>
    <mergeCell ref="E19:H19"/>
    <mergeCell ref="I1:L2"/>
    <mergeCell ref="I11:K11"/>
    <mergeCell ref="A5:C6"/>
    <mergeCell ref="G5:I6"/>
    <mergeCell ref="J13:L13"/>
    <mergeCell ref="A1:A2"/>
  </mergeCells>
  <dataValidations count="2">
    <dataValidation sqref="K8" showDropDown="0" showInputMessage="0" showErrorMessage="0" allowBlank="0" type="list" errorStyle="stop" operator="between">
      <formula1>"Ma,Di,Wo,Do,Vr,Za,Zo"</formula1>
      <formula2>0</formula2>
    </dataValidation>
    <dataValidation sqref="G9:G12" showDropDown="0" showInputMessage="0" showErrorMessage="0" allowBlank="1" type="list" errorStyle="stop" operator="between">
      <formula1>"✓,—"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I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9" min="1" max="1"/>
    <col width="10" customWidth="1" style="59" min="2" max="2"/>
    <col width="30" customWidth="1" style="59" min="3" max="3"/>
    <col width="40" customWidth="1" style="59" min="4" max="4"/>
    <col width="7" customWidth="1" style="59" min="5" max="5"/>
    <col width="9" customWidth="1" style="59" min="6" max="7"/>
    <col width="8" customWidth="1" style="59" min="8" max="8"/>
    <col hidden="1" width="14" customWidth="1" style="59" min="9" max="9"/>
  </cols>
  <sheetData>
    <row r="1" ht="18" customHeight="1" s="60">
      <c r="A1" s="95" t="inlineStr">
        <is>
          <t>WEEKPLAN</t>
        </is>
      </c>
    </row>
    <row r="2" ht="15" customHeight="1" s="60">
      <c r="A2" s="96" t="inlineStr">
        <is>
          <t>Vervang deze voorbeeldweek door je eigen plan uit de app. Het dashboard leest 'Vandaag' hieruit.</t>
        </is>
      </c>
    </row>
    <row r="3" ht="15" customHeight="1" s="60">
      <c r="A3" s="97" t="inlineStr">
        <is>
          <t>Dag</t>
        </is>
      </c>
      <c r="B3" s="97" t="inlineStr">
        <is>
          <t>Type</t>
        </is>
      </c>
      <c r="C3" s="97" t="inlineStr">
        <is>
          <t>Gerecht</t>
        </is>
      </c>
      <c r="D3" s="97" t="inlineStr">
        <is>
          <t>Ingrediënten</t>
        </is>
      </c>
      <c r="E3" s="97" t="inlineStr">
        <is>
          <t>kcal</t>
        </is>
      </c>
      <c r="F3" s="97" t="inlineStr">
        <is>
          <t>Eiwit (g)</t>
        </is>
      </c>
      <c r="G3" s="97" t="inlineStr">
        <is>
          <t>Koolh. (g)</t>
        </is>
      </c>
      <c r="H3" s="97" t="inlineStr">
        <is>
          <t>Vet (g)</t>
        </is>
      </c>
      <c r="I3" s="59" t="inlineStr">
        <is>
          <t>key</t>
        </is>
      </c>
    </row>
    <row r="4" ht="15" customHeight="1" s="60">
      <c r="A4" s="98" t="inlineStr">
        <is>
          <t>Ma</t>
        </is>
      </c>
      <c r="B4" s="98" t="inlineStr">
        <is>
          <t>Ontbijt</t>
        </is>
      </c>
      <c r="C4" s="98" t="inlineStr">
        <is>
          <t>Hartige havermout met ei</t>
        </is>
      </c>
      <c r="D4" s="98" t="inlineStr">
        <is>
          <t>60g havermout, 2 eieren, 100g spinazie</t>
        </is>
      </c>
      <c r="E4" s="99" t="n">
        <v>640</v>
      </c>
      <c r="F4" s="99" t="n">
        <v>30</v>
      </c>
      <c r="G4" s="99" t="n">
        <v>82</v>
      </c>
      <c r="H4" s="99" t="n">
        <v>18</v>
      </c>
      <c r="I4" s="59">
        <f>$A4&amp;"|"&amp;$B4</f>
        <v/>
      </c>
    </row>
    <row r="5" ht="15" customHeight="1" s="60">
      <c r="A5" s="98" t="inlineStr">
        <is>
          <t>Ma</t>
        </is>
      </c>
      <c r="B5" s="98" t="inlineStr">
        <is>
          <t>Lunch</t>
        </is>
      </c>
      <c r="C5" s="98" t="inlineStr">
        <is>
          <t>Kip &amp; rijst bowl</t>
        </is>
      </c>
      <c r="D5" s="98" t="inlineStr">
        <is>
          <t>150g kip, 70g rijst, 150g groente</t>
        </is>
      </c>
      <c r="E5" s="99" t="n">
        <v>560</v>
      </c>
      <c r="F5" s="99" t="n">
        <v>48</v>
      </c>
      <c r="G5" s="99" t="n">
        <v>55</v>
      </c>
      <c r="H5" s="99" t="n">
        <v>12</v>
      </c>
      <c r="I5" s="59">
        <f>$A5&amp;"|"&amp;$B5</f>
        <v/>
      </c>
    </row>
    <row r="6" ht="15" customHeight="1" s="60">
      <c r="A6" s="98" t="inlineStr">
        <is>
          <t>Ma</t>
        </is>
      </c>
      <c r="B6" s="98" t="inlineStr">
        <is>
          <t>Diner</t>
        </is>
      </c>
      <c r="C6" s="98" t="inlineStr">
        <is>
          <t>Mager gehakt met pasta</t>
        </is>
      </c>
      <c r="D6" s="98" t="inlineStr">
        <is>
          <t>130g gehakt, 70g pasta, tomatensaus</t>
        </is>
      </c>
      <c r="E6" s="99" t="n">
        <v>720</v>
      </c>
      <c r="F6" s="99" t="n">
        <v>42</v>
      </c>
      <c r="G6" s="99" t="n">
        <v>92</v>
      </c>
      <c r="H6" s="99" t="n">
        <v>16</v>
      </c>
      <c r="I6" s="59">
        <f>$A6&amp;"|"&amp;$B6</f>
        <v/>
      </c>
    </row>
    <row r="7" ht="15" customHeight="1" s="60">
      <c r="A7" s="98" t="inlineStr">
        <is>
          <t>Ma</t>
        </is>
      </c>
      <c r="B7" s="98" t="inlineStr">
        <is>
          <t>Snack</t>
        </is>
      </c>
      <c r="C7" s="98" t="inlineStr">
        <is>
          <t>Kwark met noten</t>
        </is>
      </c>
      <c r="D7" s="98" t="inlineStr">
        <is>
          <t>200g kwark, 20g noten</t>
        </is>
      </c>
      <c r="E7" s="99" t="n">
        <v>300</v>
      </c>
      <c r="F7" s="99" t="n">
        <v>28</v>
      </c>
      <c r="G7" s="99" t="n">
        <v>10</v>
      </c>
      <c r="H7" s="99" t="n">
        <v>14</v>
      </c>
      <c r="I7" s="59">
        <f>$A7&amp;"|"&amp;$B7</f>
        <v/>
      </c>
    </row>
    <row r="8" ht="15" customHeight="1" s="60">
      <c r="A8" s="100" t="inlineStr">
        <is>
          <t>Di</t>
        </is>
      </c>
      <c r="B8" s="100" t="inlineStr">
        <is>
          <t>Ontbijt</t>
        </is>
      </c>
      <c r="C8" s="100" t="inlineStr">
        <is>
          <t>Kwark met havermout &amp; bes</t>
        </is>
      </c>
      <c r="D8" s="100" t="inlineStr">
        <is>
          <t>250g kwark, 40g havermout, 100g bes</t>
        </is>
      </c>
      <c r="E8" s="101" t="n">
        <v>430</v>
      </c>
      <c r="F8" s="101" t="n">
        <v>42</v>
      </c>
      <c r="G8" s="101" t="n">
        <v>45</v>
      </c>
      <c r="H8" s="101" t="n">
        <v>6</v>
      </c>
      <c r="I8" s="59">
        <f>$A8&amp;"|"&amp;$B8</f>
        <v/>
      </c>
    </row>
    <row r="9" ht="15" customHeight="1" s="60">
      <c r="A9" s="100" t="inlineStr">
        <is>
          <t>Di</t>
        </is>
      </c>
      <c r="B9" s="100" t="inlineStr">
        <is>
          <t>Lunch</t>
        </is>
      </c>
      <c r="C9" s="100" t="inlineStr">
        <is>
          <t>Tonijnwrap</t>
        </is>
      </c>
      <c r="D9" s="100" t="inlineStr">
        <is>
          <t>1 wrap, 100g tonijn, 50g mais</t>
        </is>
      </c>
      <c r="E9" s="101" t="n">
        <v>470</v>
      </c>
      <c r="F9" s="101" t="n">
        <v>38</v>
      </c>
      <c r="G9" s="101" t="n">
        <v>48</v>
      </c>
      <c r="H9" s="101" t="n">
        <v>10</v>
      </c>
      <c r="I9" s="59">
        <f>$A9&amp;"|"&amp;$B9</f>
        <v/>
      </c>
    </row>
    <row r="10" ht="15" customHeight="1" s="60">
      <c r="A10" s="100" t="inlineStr">
        <is>
          <t>Di</t>
        </is>
      </c>
      <c r="B10" s="100" t="inlineStr">
        <is>
          <t>Diner</t>
        </is>
      </c>
      <c r="C10" s="100" t="inlineStr">
        <is>
          <t>Zalm met quinoa</t>
        </is>
      </c>
      <c r="D10" s="100" t="inlineStr">
        <is>
          <t>125g zalm, 60g quinoa, 100g broccoli</t>
        </is>
      </c>
      <c r="E10" s="101" t="n">
        <v>640</v>
      </c>
      <c r="F10" s="101" t="n">
        <v>40</v>
      </c>
      <c r="G10" s="101" t="n">
        <v>45</v>
      </c>
      <c r="H10" s="101" t="n">
        <v>26</v>
      </c>
      <c r="I10" s="59">
        <f>$A10&amp;"|"&amp;$B10</f>
        <v/>
      </c>
    </row>
    <row r="11" ht="15" customHeight="1" s="60">
      <c r="A11" s="100" t="inlineStr">
        <is>
          <t>Di</t>
        </is>
      </c>
      <c r="B11" s="100" t="inlineStr">
        <is>
          <t>Snack</t>
        </is>
      </c>
      <c r="C11" s="100" t="inlineStr">
        <is>
          <t>Proteïnereep &amp; fruit</t>
        </is>
      </c>
      <c r="D11" s="100" t="inlineStr">
        <is>
          <t>1 reep, 1 appel</t>
        </is>
      </c>
      <c r="E11" s="101" t="n">
        <v>280</v>
      </c>
      <c r="F11" s="101" t="n">
        <v>20</v>
      </c>
      <c r="G11" s="101" t="n">
        <v>32</v>
      </c>
      <c r="H11" s="101" t="n">
        <v>7</v>
      </c>
      <c r="I11" s="59">
        <f>$A11&amp;"|"&amp;$B11</f>
        <v/>
      </c>
    </row>
    <row r="12" ht="15" customHeight="1" s="60">
      <c r="A12" s="98" t="inlineStr">
        <is>
          <t>Wo</t>
        </is>
      </c>
      <c r="B12" s="98" t="inlineStr">
        <is>
          <t>Ontbijt</t>
        </is>
      </c>
      <c r="C12" s="98" t="inlineStr">
        <is>
          <t>Eiwitpannenkoeken</t>
        </is>
      </c>
      <c r="D12" s="98" t="inlineStr">
        <is>
          <t>50g havermeel, 30g whey, 1 ei</t>
        </is>
      </c>
      <c r="E12" s="99" t="n">
        <v>600</v>
      </c>
      <c r="F12" s="99" t="n">
        <v>38</v>
      </c>
      <c r="G12" s="99" t="n">
        <v>76</v>
      </c>
      <c r="H12" s="99" t="n">
        <v>10</v>
      </c>
      <c r="I12" s="59">
        <f>$A12&amp;"|"&amp;$B12</f>
        <v/>
      </c>
    </row>
    <row r="13" ht="15" customHeight="1" s="60">
      <c r="A13" s="98" t="inlineStr">
        <is>
          <t>Wo</t>
        </is>
      </c>
      <c r="B13" s="98" t="inlineStr">
        <is>
          <t>Lunch</t>
        </is>
      </c>
      <c r="C13" s="98" t="inlineStr">
        <is>
          <t>Rund &amp; avocado bowl</t>
        </is>
      </c>
      <c r="D13" s="98" t="inlineStr">
        <is>
          <t>150g rundergehakt, 80g avocado, 80g sla</t>
        </is>
      </c>
      <c r="E13" s="99" t="n">
        <v>600</v>
      </c>
      <c r="F13" s="99" t="n">
        <v>45</v>
      </c>
      <c r="G13" s="99" t="n">
        <v>22</v>
      </c>
      <c r="H13" s="99" t="n">
        <v>30</v>
      </c>
      <c r="I13" s="59">
        <f>$A13&amp;"|"&amp;$B13</f>
        <v/>
      </c>
    </row>
    <row r="14" ht="15" customHeight="1" s="60">
      <c r="A14" s="98" t="inlineStr">
        <is>
          <t>Wo</t>
        </is>
      </c>
      <c r="B14" s="98" t="inlineStr">
        <is>
          <t>Diner</t>
        </is>
      </c>
      <c r="C14" s="98" t="inlineStr">
        <is>
          <t>Kipfilet met zoete aardappel</t>
        </is>
      </c>
      <c r="D14" s="98" t="inlineStr">
        <is>
          <t>160g kip, 200g zoete aardappel, 150g groente</t>
        </is>
      </c>
      <c r="E14" s="99" t="n">
        <v>740</v>
      </c>
      <c r="F14" s="99" t="n">
        <v>50</v>
      </c>
      <c r="G14" s="99" t="n">
        <v>88</v>
      </c>
      <c r="H14" s="99" t="n">
        <v>14</v>
      </c>
      <c r="I14" s="59">
        <f>$A14&amp;"|"&amp;$B14</f>
        <v/>
      </c>
    </row>
    <row r="15" ht="15" customHeight="1" s="60">
      <c r="A15" s="98" t="inlineStr">
        <is>
          <t>Wo</t>
        </is>
      </c>
      <c r="B15" s="98" t="inlineStr">
        <is>
          <t>Snack</t>
        </is>
      </c>
      <c r="C15" s="98" t="inlineStr">
        <is>
          <t>Skyr met honing</t>
        </is>
      </c>
      <c r="D15" s="98" t="inlineStr">
        <is>
          <t>200g skyr, 15g honing</t>
        </is>
      </c>
      <c r="E15" s="99" t="n">
        <v>240</v>
      </c>
      <c r="F15" s="99" t="n">
        <v>22</v>
      </c>
      <c r="G15" s="99" t="n">
        <v>24</v>
      </c>
      <c r="H15" s="99" t="n">
        <v>2</v>
      </c>
      <c r="I15" s="59">
        <f>$A15&amp;"|"&amp;$B15</f>
        <v/>
      </c>
    </row>
    <row r="16" ht="15" customHeight="1" s="60">
      <c r="A16" s="100" t="inlineStr">
        <is>
          <t>Do</t>
        </is>
      </c>
      <c r="B16" s="100" t="inlineStr">
        <is>
          <t>Ontbijt</t>
        </is>
      </c>
      <c r="C16" s="100" t="inlineStr">
        <is>
          <t>Hartige havermout met ei</t>
        </is>
      </c>
      <c r="D16" s="100" t="inlineStr">
        <is>
          <t>60g havermout, 2 eieren, 100g spinazie</t>
        </is>
      </c>
      <c r="E16" s="101" t="n">
        <v>520</v>
      </c>
      <c r="F16" s="101" t="n">
        <v>30</v>
      </c>
      <c r="G16" s="101" t="n">
        <v>52</v>
      </c>
      <c r="H16" s="101" t="n">
        <v>18</v>
      </c>
      <c r="I16" s="59">
        <f>$A16&amp;"|"&amp;$B16</f>
        <v/>
      </c>
    </row>
    <row r="17" ht="15" customHeight="1" s="60">
      <c r="A17" s="100" t="inlineStr">
        <is>
          <t>Do</t>
        </is>
      </c>
      <c r="B17" s="100" t="inlineStr">
        <is>
          <t>Lunch</t>
        </is>
      </c>
      <c r="C17" s="100" t="inlineStr">
        <is>
          <t>Kip &amp; rijst bowl</t>
        </is>
      </c>
      <c r="D17" s="100" t="inlineStr">
        <is>
          <t>150g kip, 70g rijst, 150g groente</t>
        </is>
      </c>
      <c r="E17" s="101" t="n">
        <v>560</v>
      </c>
      <c r="F17" s="101" t="n">
        <v>48</v>
      </c>
      <c r="G17" s="101" t="n">
        <v>55</v>
      </c>
      <c r="H17" s="101" t="n">
        <v>12</v>
      </c>
      <c r="I17" s="59">
        <f>$A17&amp;"|"&amp;$B17</f>
        <v/>
      </c>
    </row>
    <row r="18" ht="15" customHeight="1" s="60">
      <c r="A18" s="100" t="inlineStr">
        <is>
          <t>Do</t>
        </is>
      </c>
      <c r="B18" s="100" t="inlineStr">
        <is>
          <t>Diner</t>
        </is>
      </c>
      <c r="C18" s="100" t="inlineStr">
        <is>
          <t>Mager gehakt met pasta</t>
        </is>
      </c>
      <c r="D18" s="100" t="inlineStr">
        <is>
          <t>130g gehakt, 70g pasta, tomatensaus</t>
        </is>
      </c>
      <c r="E18" s="101" t="n">
        <v>600</v>
      </c>
      <c r="F18" s="101" t="n">
        <v>42</v>
      </c>
      <c r="G18" s="101" t="n">
        <v>62</v>
      </c>
      <c r="H18" s="101" t="n">
        <v>16</v>
      </c>
      <c r="I18" s="59">
        <f>$A18&amp;"|"&amp;$B18</f>
        <v/>
      </c>
    </row>
    <row r="19" ht="15" customHeight="1" s="60">
      <c r="A19" s="100" t="inlineStr">
        <is>
          <t>Do</t>
        </is>
      </c>
      <c r="B19" s="100" t="inlineStr">
        <is>
          <t>Snack</t>
        </is>
      </c>
      <c r="C19" s="100" t="inlineStr">
        <is>
          <t>Kwark met noten</t>
        </is>
      </c>
      <c r="D19" s="100" t="inlineStr">
        <is>
          <t>200g kwark, 20g noten</t>
        </is>
      </c>
      <c r="E19" s="101" t="n">
        <v>300</v>
      </c>
      <c r="F19" s="101" t="n">
        <v>28</v>
      </c>
      <c r="G19" s="101" t="n">
        <v>10</v>
      </c>
      <c r="H19" s="101" t="n">
        <v>14</v>
      </c>
      <c r="I19" s="59">
        <f>$A19&amp;"|"&amp;$B19</f>
        <v/>
      </c>
    </row>
    <row r="20" ht="15" customHeight="1" s="60">
      <c r="A20" s="98" t="inlineStr">
        <is>
          <t>Vr</t>
        </is>
      </c>
      <c r="B20" s="98" t="inlineStr">
        <is>
          <t>Ontbijt</t>
        </is>
      </c>
      <c r="C20" s="98" t="inlineStr">
        <is>
          <t>Kwark met havermout &amp; bes</t>
        </is>
      </c>
      <c r="D20" s="98" t="inlineStr">
        <is>
          <t>250g kwark, 40g havermout, 100g bes</t>
        </is>
      </c>
      <c r="E20" s="99" t="n">
        <v>550</v>
      </c>
      <c r="F20" s="99" t="n">
        <v>42</v>
      </c>
      <c r="G20" s="99" t="n">
        <v>75</v>
      </c>
      <c r="H20" s="99" t="n">
        <v>6</v>
      </c>
      <c r="I20" s="59">
        <f>$A20&amp;"|"&amp;$B20</f>
        <v/>
      </c>
    </row>
    <row r="21" ht="15" customHeight="1" s="60">
      <c r="A21" s="98" t="inlineStr">
        <is>
          <t>Vr</t>
        </is>
      </c>
      <c r="B21" s="98" t="inlineStr">
        <is>
          <t>Lunch</t>
        </is>
      </c>
      <c r="C21" s="98" t="inlineStr">
        <is>
          <t>Tonijnwrap</t>
        </is>
      </c>
      <c r="D21" s="98" t="inlineStr">
        <is>
          <t>1 wrap, 100g tonijn, 50g mais</t>
        </is>
      </c>
      <c r="E21" s="99" t="n">
        <v>470</v>
      </c>
      <c r="F21" s="99" t="n">
        <v>38</v>
      </c>
      <c r="G21" s="99" t="n">
        <v>48</v>
      </c>
      <c r="H21" s="99" t="n">
        <v>10</v>
      </c>
      <c r="I21" s="59">
        <f>$A21&amp;"|"&amp;$B21</f>
        <v/>
      </c>
    </row>
    <row r="22" ht="15" customHeight="1" s="60">
      <c r="A22" s="98" t="inlineStr">
        <is>
          <t>Vr</t>
        </is>
      </c>
      <c r="B22" s="98" t="inlineStr">
        <is>
          <t>Diner</t>
        </is>
      </c>
      <c r="C22" s="98" t="inlineStr">
        <is>
          <t>Zalm met quinoa</t>
        </is>
      </c>
      <c r="D22" s="98" t="inlineStr">
        <is>
          <t>125g zalm, 60g quinoa, 100g broccoli</t>
        </is>
      </c>
      <c r="E22" s="99" t="n">
        <v>760</v>
      </c>
      <c r="F22" s="99" t="n">
        <v>40</v>
      </c>
      <c r="G22" s="99" t="n">
        <v>75</v>
      </c>
      <c r="H22" s="99" t="n">
        <v>26</v>
      </c>
      <c r="I22" s="59">
        <f>$A22&amp;"|"&amp;$B22</f>
        <v/>
      </c>
    </row>
    <row r="23" ht="15" customHeight="1" s="60">
      <c r="A23" s="98" t="inlineStr">
        <is>
          <t>Vr</t>
        </is>
      </c>
      <c r="B23" s="98" t="inlineStr">
        <is>
          <t>Snack</t>
        </is>
      </c>
      <c r="C23" s="98" t="inlineStr">
        <is>
          <t>Proteïnereep &amp; fruit</t>
        </is>
      </c>
      <c r="D23" s="98" t="inlineStr">
        <is>
          <t>1 reep, 1 appel</t>
        </is>
      </c>
      <c r="E23" s="99" t="n">
        <v>280</v>
      </c>
      <c r="F23" s="99" t="n">
        <v>20</v>
      </c>
      <c r="G23" s="99" t="n">
        <v>32</v>
      </c>
      <c r="H23" s="99" t="n">
        <v>7</v>
      </c>
      <c r="I23" s="59">
        <f>$A23&amp;"|"&amp;$B23</f>
        <v/>
      </c>
    </row>
    <row r="24" ht="15" customHeight="1" s="60">
      <c r="A24" s="100" t="inlineStr">
        <is>
          <t>Za</t>
        </is>
      </c>
      <c r="B24" s="100" t="inlineStr">
        <is>
          <t>Ontbijt</t>
        </is>
      </c>
      <c r="C24" s="100" t="inlineStr">
        <is>
          <t>Eiwitpannenkoeken</t>
        </is>
      </c>
      <c r="D24" s="100" t="inlineStr">
        <is>
          <t>50g havermeel, 30g whey, 1 ei</t>
        </is>
      </c>
      <c r="E24" s="101" t="n">
        <v>480</v>
      </c>
      <c r="F24" s="101" t="n">
        <v>38</v>
      </c>
      <c r="G24" s="101" t="n">
        <v>46</v>
      </c>
      <c r="H24" s="101" t="n">
        <v>10</v>
      </c>
      <c r="I24" s="59">
        <f>$A24&amp;"|"&amp;$B24</f>
        <v/>
      </c>
    </row>
    <row r="25" ht="15" customHeight="1" s="60">
      <c r="A25" s="100" t="inlineStr">
        <is>
          <t>Za</t>
        </is>
      </c>
      <c r="B25" s="100" t="inlineStr">
        <is>
          <t>Lunch</t>
        </is>
      </c>
      <c r="C25" s="100" t="inlineStr">
        <is>
          <t>Rund &amp; avocado bowl</t>
        </is>
      </c>
      <c r="D25" s="100" t="inlineStr">
        <is>
          <t>150g rundergehakt, 80g avocado, 80g sla</t>
        </is>
      </c>
      <c r="E25" s="101" t="n">
        <v>600</v>
      </c>
      <c r="F25" s="101" t="n">
        <v>45</v>
      </c>
      <c r="G25" s="101" t="n">
        <v>22</v>
      </c>
      <c r="H25" s="101" t="n">
        <v>30</v>
      </c>
      <c r="I25" s="59">
        <f>$A25&amp;"|"&amp;$B25</f>
        <v/>
      </c>
    </row>
    <row r="26" ht="15" customHeight="1" s="60">
      <c r="A26" s="100" t="inlineStr">
        <is>
          <t>Za</t>
        </is>
      </c>
      <c r="B26" s="100" t="inlineStr">
        <is>
          <t>Diner</t>
        </is>
      </c>
      <c r="C26" s="100" t="inlineStr">
        <is>
          <t>Kipfilet met zoete aardappel</t>
        </is>
      </c>
      <c r="D26" s="100" t="inlineStr">
        <is>
          <t>160g kip, 200g zoete aardappel, 150g groente</t>
        </is>
      </c>
      <c r="E26" s="101" t="n">
        <v>620</v>
      </c>
      <c r="F26" s="101" t="n">
        <v>50</v>
      </c>
      <c r="G26" s="101" t="n">
        <v>58</v>
      </c>
      <c r="H26" s="101" t="n">
        <v>14</v>
      </c>
      <c r="I26" s="59">
        <f>$A26&amp;"|"&amp;$B26</f>
        <v/>
      </c>
    </row>
    <row r="27" ht="15" customHeight="1" s="60">
      <c r="A27" s="100" t="inlineStr">
        <is>
          <t>Za</t>
        </is>
      </c>
      <c r="B27" s="100" t="inlineStr">
        <is>
          <t>Snack</t>
        </is>
      </c>
      <c r="C27" s="100" t="inlineStr">
        <is>
          <t>Skyr met honing</t>
        </is>
      </c>
      <c r="D27" s="100" t="inlineStr">
        <is>
          <t>200g skyr, 15g honing</t>
        </is>
      </c>
      <c r="E27" s="101" t="n">
        <v>240</v>
      </c>
      <c r="F27" s="101" t="n">
        <v>22</v>
      </c>
      <c r="G27" s="101" t="n">
        <v>24</v>
      </c>
      <c r="H27" s="101" t="n">
        <v>2</v>
      </c>
      <c r="I27" s="59">
        <f>$A27&amp;"|"&amp;$B27</f>
        <v/>
      </c>
    </row>
    <row r="28" ht="15" customHeight="1" s="60">
      <c r="A28" s="98" t="inlineStr">
        <is>
          <t>Zo</t>
        </is>
      </c>
      <c r="B28" s="98" t="inlineStr">
        <is>
          <t>Ontbijt</t>
        </is>
      </c>
      <c r="C28" s="98" t="inlineStr">
        <is>
          <t>Hartige havermout met ei</t>
        </is>
      </c>
      <c r="D28" s="98" t="inlineStr">
        <is>
          <t>60g havermout, 2 eieren, 100g spinazie</t>
        </is>
      </c>
      <c r="E28" s="99" t="n">
        <v>520</v>
      </c>
      <c r="F28" s="99" t="n">
        <v>30</v>
      </c>
      <c r="G28" s="99" t="n">
        <v>52</v>
      </c>
      <c r="H28" s="99" t="n">
        <v>18</v>
      </c>
      <c r="I28" s="59">
        <f>$A28&amp;"|"&amp;$B28</f>
        <v/>
      </c>
    </row>
    <row r="29" ht="15" customHeight="1" s="60">
      <c r="A29" s="98" t="inlineStr">
        <is>
          <t>Zo</t>
        </is>
      </c>
      <c r="B29" s="98" t="inlineStr">
        <is>
          <t>Lunch</t>
        </is>
      </c>
      <c r="C29" s="98" t="inlineStr">
        <is>
          <t>Kip &amp; rijst bowl</t>
        </is>
      </c>
      <c r="D29" s="98" t="inlineStr">
        <is>
          <t>150g kip, 70g rijst, 150g groente</t>
        </is>
      </c>
      <c r="E29" s="99" t="n">
        <v>560</v>
      </c>
      <c r="F29" s="99" t="n">
        <v>48</v>
      </c>
      <c r="G29" s="99" t="n">
        <v>55</v>
      </c>
      <c r="H29" s="99" t="n">
        <v>12</v>
      </c>
      <c r="I29" s="59">
        <f>$A29&amp;"|"&amp;$B29</f>
        <v/>
      </c>
    </row>
    <row r="30" ht="15" customHeight="1" s="60">
      <c r="A30" s="98" t="inlineStr">
        <is>
          <t>Zo</t>
        </is>
      </c>
      <c r="B30" s="98" t="inlineStr">
        <is>
          <t>Diner</t>
        </is>
      </c>
      <c r="C30" s="98" t="inlineStr">
        <is>
          <t>Mager gehakt met pasta</t>
        </is>
      </c>
      <c r="D30" s="98" t="inlineStr">
        <is>
          <t>130g gehakt, 70g pasta, tomatensaus</t>
        </is>
      </c>
      <c r="E30" s="99" t="n">
        <v>600</v>
      </c>
      <c r="F30" s="99" t="n">
        <v>42</v>
      </c>
      <c r="G30" s="99" t="n">
        <v>62</v>
      </c>
      <c r="H30" s="99" t="n">
        <v>16</v>
      </c>
      <c r="I30" s="59">
        <f>$A30&amp;"|"&amp;$B30</f>
        <v/>
      </c>
    </row>
    <row r="31" ht="15" customHeight="1" s="60">
      <c r="A31" s="98" t="inlineStr">
        <is>
          <t>Zo</t>
        </is>
      </c>
      <c r="B31" s="98" t="inlineStr">
        <is>
          <t>Snack</t>
        </is>
      </c>
      <c r="C31" s="98" t="inlineStr">
        <is>
          <t>Kwark met noten</t>
        </is>
      </c>
      <c r="D31" s="98" t="inlineStr">
        <is>
          <t>200g kwark, 20g noten</t>
        </is>
      </c>
      <c r="E31" s="99" t="n">
        <v>300</v>
      </c>
      <c r="F31" s="99" t="n">
        <v>28</v>
      </c>
      <c r="G31" s="99" t="n">
        <v>10</v>
      </c>
      <c r="H31" s="99" t="n">
        <v>14</v>
      </c>
      <c r="I31" s="59">
        <f>$A31&amp;"|"&amp;$B31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59" min="1" max="1"/>
    <col width="13" customWidth="1" style="59" min="2" max="3"/>
    <col width="30" customWidth="1" style="59" min="4" max="4"/>
    <col width="18" customWidth="1" style="59" min="6" max="6"/>
    <col width="14" customWidth="1" style="59" min="7" max="7"/>
    <col width="10" customWidth="1" style="59" min="8" max="8"/>
  </cols>
  <sheetData>
    <row r="1" ht="18" customHeight="1" s="60">
      <c r="A1" s="95" t="inlineStr">
        <is>
          <t>GEWICHT &amp; VOORTGANG</t>
        </is>
      </c>
    </row>
    <row r="2" ht="15" customHeight="1" s="60">
      <c r="A2" s="96" t="inlineStr">
        <is>
          <t>Weeg je 1x per week op een vast moment. Vul datum + gewicht in; de grafiek en het dashboard updaten vanzelf.</t>
        </is>
      </c>
    </row>
    <row r="3" ht="15" customHeight="1" s="60">
      <c r="A3" s="97" t="inlineStr">
        <is>
          <t>Datum</t>
        </is>
      </c>
      <c r="B3" s="97" t="inlineStr">
        <is>
          <t>Gewicht (kg)</t>
        </is>
      </c>
      <c r="C3" s="97" t="inlineStr">
        <is>
          <t>Verschil (kg)</t>
        </is>
      </c>
      <c r="D3" s="97" t="inlineStr">
        <is>
          <t>Notitie</t>
        </is>
      </c>
      <c r="F3" s="102" t="inlineStr">
        <is>
          <t>BMI-TOOL</t>
        </is>
      </c>
    </row>
    <row r="4" ht="15" customHeight="1" s="60">
      <c r="A4" s="103" t="n">
        <v>46271</v>
      </c>
      <c r="B4" s="104" t="n">
        <v>88.59999999999999</v>
      </c>
      <c r="C4" s="99" t="n"/>
      <c r="D4" s="105" t="n"/>
      <c r="F4" s="106" t="inlineStr">
        <is>
          <t>Lengte (cm)</t>
        </is>
      </c>
      <c r="G4" s="107" t="n"/>
      <c r="H4" s="108" t="inlineStr">
        <is>
          <t>← vul in</t>
        </is>
      </c>
    </row>
    <row r="5" ht="15" customHeight="1" s="60">
      <c r="A5" s="103" t="n">
        <v>46278</v>
      </c>
      <c r="B5" s="104" t="n">
        <v>88.2</v>
      </c>
      <c r="C5" s="109">
        <f>IF(AND(B5&lt;&gt;"",B4&lt;&gt;""),B5-B4,"")</f>
        <v/>
      </c>
      <c r="D5" s="105" t="n"/>
      <c r="F5" s="106" t="inlineStr">
        <is>
          <t>Laatste gewicht (kg)</t>
        </is>
      </c>
      <c r="G5" s="110">
        <f>IF(COUNT(B4:B30)&gt;=1,INDEX(B4:B30,COUNT(B4:B30)),"")</f>
        <v/>
      </c>
    </row>
    <row r="6" ht="15" customHeight="1" s="60">
      <c r="A6" s="103" t="n">
        <v>46285</v>
      </c>
      <c r="B6" s="104" t="n">
        <v>88.40000000000001</v>
      </c>
      <c r="C6" s="109">
        <f>IF(AND(B6&lt;&gt;"",B5&lt;&gt;""),B6-B5,"")</f>
        <v/>
      </c>
      <c r="D6" s="105" t="n"/>
      <c r="F6" s="111" t="inlineStr">
        <is>
          <t>BMI</t>
        </is>
      </c>
      <c r="G6" s="112">
        <f>IF(AND(G4&gt;0,G5&gt;0),ROUND(G5/(G4/100)^2,1),"")</f>
        <v/>
      </c>
    </row>
    <row r="7" ht="15" customHeight="1" s="60">
      <c r="A7" s="103" t="n">
        <v>46292</v>
      </c>
      <c r="B7" s="104" t="n">
        <v>87.90000000000001</v>
      </c>
      <c r="C7" s="109">
        <f>IF(AND(B7&lt;&gt;"",B6&lt;&gt;""),B7-B6,"")</f>
        <v/>
      </c>
      <c r="D7" s="105" t="n"/>
      <c r="F7" s="106" t="inlineStr">
        <is>
          <t>Categorie</t>
        </is>
      </c>
      <c r="G7" s="113">
        <f>IF(G6="","",IF(G6&lt;18.5,"Ondergewicht",IF(G6&lt;25,"Gezond",IF(G6&lt;30,"Overgewicht","Obesitas"))))</f>
        <v/>
      </c>
    </row>
    <row r="8" ht="15" customHeight="1" s="60">
      <c r="A8" s="103" t="n">
        <v>46299</v>
      </c>
      <c r="B8" s="104" t="n">
        <v>87.59999999999999</v>
      </c>
      <c r="C8" s="109">
        <f>IF(AND(B8&lt;&gt;"",B7&lt;&gt;""),B8-B7,"")</f>
        <v/>
      </c>
      <c r="D8" s="105" t="n"/>
    </row>
    <row r="9" ht="15" customHeight="1" s="60">
      <c r="A9" s="103" t="n">
        <v>46306</v>
      </c>
      <c r="B9" s="104" t="n">
        <v>87.7</v>
      </c>
      <c r="C9" s="109">
        <f>IF(AND(B9&lt;&gt;"",B8&lt;&gt;""),B9-B8,"")</f>
        <v/>
      </c>
      <c r="D9" s="105" t="n"/>
      <c r="F9" s="114" t="inlineStr">
        <is>
          <t>BMI = gewicht ÷ lengte². Ruwe maat (spiermassa telt niet mee). Onder 18,5 = ondergewicht — dan niet verder afvallen.</t>
        </is>
      </c>
    </row>
    <row r="10" ht="15" customHeight="1" s="60">
      <c r="A10" s="103" t="n">
        <v>46313</v>
      </c>
      <c r="B10" s="104" t="n">
        <v>87.2</v>
      </c>
      <c r="C10" s="109">
        <f>IF(AND(B10&lt;&gt;"",B9&lt;&gt;""),B10-B9,"")</f>
        <v/>
      </c>
      <c r="D10" s="105" t="n"/>
    </row>
    <row r="11" ht="15" customHeight="1" s="60">
      <c r="A11" s="103" t="n">
        <v>46320</v>
      </c>
      <c r="B11" s="104" t="n">
        <v>87</v>
      </c>
      <c r="C11" s="109">
        <f>IF(AND(B11&lt;&gt;"",B10&lt;&gt;""),B11-B10,"")</f>
        <v/>
      </c>
      <c r="D11" s="105" t="n"/>
    </row>
    <row r="12" ht="15" customHeight="1" s="60">
      <c r="A12" s="99" t="n"/>
      <c r="B12" s="104" t="n"/>
      <c r="C12" s="109">
        <f>IF(AND(B12&lt;&gt;"",B11&lt;&gt;""),B12-B11,"")</f>
        <v/>
      </c>
      <c r="D12" s="105" t="n"/>
    </row>
    <row r="13" ht="15" customHeight="1" s="60">
      <c r="A13" s="99" t="n"/>
      <c r="B13" s="104" t="n"/>
      <c r="C13" s="109">
        <f>IF(AND(B13&lt;&gt;"",B12&lt;&gt;""),B13-B12,"")</f>
        <v/>
      </c>
      <c r="D13" s="105" t="n"/>
    </row>
    <row r="14" ht="15" customHeight="1" s="60">
      <c r="A14" s="99" t="n"/>
      <c r="B14" s="104" t="n"/>
      <c r="C14" s="109">
        <f>IF(AND(B14&lt;&gt;"",B13&lt;&gt;""),B14-B13,"")</f>
        <v/>
      </c>
      <c r="D14" s="105" t="n"/>
    </row>
    <row r="15" ht="15" customHeight="1" s="60">
      <c r="A15" s="99" t="n"/>
      <c r="B15" s="104" t="n"/>
      <c r="C15" s="109">
        <f>IF(AND(B15&lt;&gt;"",B14&lt;&gt;""),B15-B14,"")</f>
        <v/>
      </c>
      <c r="D15" s="105" t="n"/>
    </row>
    <row r="16" ht="15" customHeight="1" s="60">
      <c r="A16" s="99" t="n"/>
      <c r="B16" s="104" t="n"/>
      <c r="C16" s="109">
        <f>IF(AND(B16&lt;&gt;"",B15&lt;&gt;""),B16-B15,"")</f>
        <v/>
      </c>
      <c r="D16" s="105" t="n"/>
    </row>
    <row r="17" ht="15" customHeight="1" s="60">
      <c r="A17" s="99" t="n"/>
      <c r="B17" s="104" t="n"/>
      <c r="C17" s="109">
        <f>IF(AND(B17&lt;&gt;"",B16&lt;&gt;""),B17-B16,"")</f>
        <v/>
      </c>
      <c r="D17" s="105" t="n"/>
    </row>
    <row r="18" ht="15" customHeight="1" s="60">
      <c r="A18" s="99" t="n"/>
      <c r="B18" s="104" t="n"/>
      <c r="C18" s="109">
        <f>IF(AND(B18&lt;&gt;"",B17&lt;&gt;""),B18-B17,"")</f>
        <v/>
      </c>
      <c r="D18" s="105" t="n"/>
    </row>
    <row r="19" ht="15" customHeight="1" s="60">
      <c r="A19" s="99" t="n"/>
      <c r="B19" s="104" t="n"/>
      <c r="C19" s="109">
        <f>IF(AND(B19&lt;&gt;"",B18&lt;&gt;""),B19-B18,"")</f>
        <v/>
      </c>
      <c r="D19" s="105" t="n"/>
    </row>
    <row r="20" ht="15" customHeight="1" s="60">
      <c r="A20" s="99" t="n"/>
      <c r="B20" s="104" t="n"/>
      <c r="C20" s="109">
        <f>IF(AND(B20&lt;&gt;"",B19&lt;&gt;""),B20-B19,"")</f>
        <v/>
      </c>
      <c r="D20" s="105" t="n"/>
    </row>
    <row r="21" ht="15" customHeight="1" s="60">
      <c r="A21" s="99" t="n"/>
      <c r="B21" s="104" t="n"/>
      <c r="C21" s="109">
        <f>IF(AND(B21&lt;&gt;"",B20&lt;&gt;""),B21-B20,"")</f>
        <v/>
      </c>
      <c r="D21" s="105" t="n"/>
    </row>
    <row r="22" ht="15" customHeight="1" s="60">
      <c r="A22" s="99" t="n"/>
      <c r="B22" s="104" t="n"/>
      <c r="C22" s="109">
        <f>IF(AND(B22&lt;&gt;"",B21&lt;&gt;""),B22-B21,"")</f>
        <v/>
      </c>
      <c r="D22" s="105" t="n"/>
    </row>
    <row r="23" ht="15" customHeight="1" s="60">
      <c r="A23" s="99" t="n"/>
      <c r="B23" s="104" t="n"/>
      <c r="C23" s="109">
        <f>IF(AND(B23&lt;&gt;"",B22&lt;&gt;""),B23-B22,"")</f>
        <v/>
      </c>
      <c r="D23" s="105" t="n"/>
    </row>
    <row r="24" ht="15" customHeight="1" s="60">
      <c r="A24" s="99" t="n"/>
      <c r="B24" s="104" t="n"/>
      <c r="C24" s="109">
        <f>IF(AND(B24&lt;&gt;"",B23&lt;&gt;""),B24-B23,"")</f>
        <v/>
      </c>
      <c r="D24" s="105" t="n"/>
    </row>
    <row r="25" ht="15" customHeight="1" s="60">
      <c r="A25" s="99" t="n"/>
      <c r="B25" s="104" t="n"/>
      <c r="C25" s="109">
        <f>IF(AND(B25&lt;&gt;"",B24&lt;&gt;""),B25-B24,"")</f>
        <v/>
      </c>
      <c r="D25" s="105" t="n"/>
    </row>
    <row r="26" ht="15" customHeight="1" s="60">
      <c r="A26" s="99" t="n"/>
      <c r="B26" s="104" t="n"/>
      <c r="C26" s="109">
        <f>IF(AND(B26&lt;&gt;"",B25&lt;&gt;""),B26-B25,"")</f>
        <v/>
      </c>
      <c r="D26" s="105" t="n"/>
    </row>
    <row r="27" ht="15" customHeight="1" s="60">
      <c r="A27" s="99" t="n"/>
      <c r="B27" s="104" t="n"/>
      <c r="C27" s="109">
        <f>IF(AND(B27&lt;&gt;"",B26&lt;&gt;""),B27-B26,"")</f>
        <v/>
      </c>
      <c r="D27" s="105" t="n"/>
    </row>
    <row r="28" ht="15" customHeight="1" s="60">
      <c r="A28" s="99" t="n"/>
      <c r="B28" s="104" t="n"/>
      <c r="C28" s="109">
        <f>IF(AND(B28&lt;&gt;"",B27&lt;&gt;""),B28-B27,"")</f>
        <v/>
      </c>
      <c r="D28" s="105" t="n"/>
    </row>
    <row r="29" ht="15" customHeight="1" s="60">
      <c r="A29" s="99" t="n"/>
      <c r="B29" s="104" t="n"/>
      <c r="C29" s="109">
        <f>IF(AND(B29&lt;&gt;"",B28&lt;&gt;""),B29-B28,"")</f>
        <v/>
      </c>
      <c r="D29" s="105" t="n"/>
    </row>
    <row r="30" ht="15" customHeight="1" s="60">
      <c r="A30" s="99" t="n"/>
      <c r="B30" s="104" t="n"/>
      <c r="C30" s="109">
        <f>IF(AND(B30&lt;&gt;"",B29&lt;&gt;""),B30-B29,"")</f>
        <v/>
      </c>
      <c r="D30" s="105" t="n"/>
    </row>
  </sheetData>
  <mergeCells count="4">
    <mergeCell ref="F9:H12"/>
    <mergeCell ref="A1:D1"/>
    <mergeCell ref="F3:H3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59" min="1" max="1"/>
    <col width="26" customWidth="1" style="59" min="2" max="2"/>
    <col width="14" customWidth="1" style="59" min="3" max="3"/>
    <col width="9" customWidth="1" style="59" min="4" max="4"/>
  </cols>
  <sheetData>
    <row r="1" ht="18" customHeight="1" s="60">
      <c r="A1" s="95" t="inlineStr">
        <is>
          <t>BOODSCHAPPEN</t>
        </is>
      </c>
    </row>
    <row r="2" ht="15" customHeight="1" s="60">
      <c r="A2" s="96" t="inlineStr">
        <is>
          <t>Je weeklijst, per categorie. Vink af wat je in huis hebt.</t>
        </is>
      </c>
    </row>
    <row r="3" ht="15" customHeight="1" s="60">
      <c r="A3" s="97" t="inlineStr">
        <is>
          <t>Categorie</t>
        </is>
      </c>
      <c r="B3" s="97" t="inlineStr">
        <is>
          <t>Product</t>
        </is>
      </c>
      <c r="C3" s="97" t="inlineStr">
        <is>
          <t>Hoeveelheid</t>
        </is>
      </c>
      <c r="D3" s="97" t="inlineStr">
        <is>
          <t>In huis?</t>
        </is>
      </c>
    </row>
    <row r="4" ht="15" customHeight="1" s="60">
      <c r="A4" s="115" t="inlineStr">
        <is>
          <t>Groente &amp; Fruit</t>
        </is>
      </c>
      <c r="B4" s="98" t="inlineStr">
        <is>
          <t>Spinazie 500g</t>
        </is>
      </c>
      <c r="C4" s="116" t="n"/>
      <c r="D4" s="117" t="n"/>
    </row>
    <row r="5" ht="15" customHeight="1" s="60">
      <c r="A5" s="115" t="inlineStr">
        <is>
          <t>Groente &amp; Fruit</t>
        </is>
      </c>
      <c r="B5" s="98" t="inlineStr">
        <is>
          <t>Broccoli 400g</t>
        </is>
      </c>
      <c r="C5" s="116" t="n"/>
      <c r="D5" s="117" t="n"/>
    </row>
    <row r="6" ht="15" customHeight="1" s="60">
      <c r="A6" s="115" t="inlineStr">
        <is>
          <t>Groente &amp; Fruit</t>
        </is>
      </c>
      <c r="B6" s="98" t="inlineStr">
        <is>
          <t>Appels 7st</t>
        </is>
      </c>
      <c r="C6" s="116" t="n"/>
      <c r="D6" s="117" t="n"/>
    </row>
    <row r="7" ht="15" customHeight="1" s="60">
      <c r="A7" s="115" t="inlineStr">
        <is>
          <t>Groente &amp; Fruit</t>
        </is>
      </c>
      <c r="B7" s="98" t="inlineStr">
        <is>
          <t>Bessen 300g</t>
        </is>
      </c>
      <c r="C7" s="116" t="n"/>
      <c r="D7" s="117" t="n"/>
    </row>
    <row r="8" ht="15" customHeight="1" s="60">
      <c r="A8" s="115" t="inlineStr">
        <is>
          <t>Vlees &amp; Vis</t>
        </is>
      </c>
      <c r="B8" s="98" t="inlineStr">
        <is>
          <t>Kipfilet 1kg</t>
        </is>
      </c>
      <c r="C8" s="116" t="n"/>
      <c r="D8" s="117" t="n"/>
    </row>
    <row r="9" ht="15" customHeight="1" s="60">
      <c r="A9" s="115" t="inlineStr">
        <is>
          <t>Vlees &amp; Vis</t>
        </is>
      </c>
      <c r="B9" s="98" t="inlineStr">
        <is>
          <t>Rundergehakt 500g</t>
        </is>
      </c>
      <c r="C9" s="116" t="n"/>
      <c r="D9" s="117" t="n"/>
    </row>
    <row r="10" ht="15" customHeight="1" s="60">
      <c r="A10" s="115" t="inlineStr">
        <is>
          <t>Vlees &amp; Vis</t>
        </is>
      </c>
      <c r="B10" s="98" t="inlineStr">
        <is>
          <t>Zalmfilet 400g</t>
        </is>
      </c>
      <c r="C10" s="116" t="n"/>
      <c r="D10" s="117" t="n"/>
    </row>
    <row r="11" ht="15" customHeight="1" s="60">
      <c r="A11" s="115" t="inlineStr">
        <is>
          <t>Zuivel</t>
        </is>
      </c>
      <c r="B11" s="98" t="inlineStr">
        <is>
          <t>Magere kwark 1kg</t>
        </is>
      </c>
      <c r="C11" s="116" t="n"/>
      <c r="D11" s="117" t="n"/>
    </row>
    <row r="12" ht="15" customHeight="1" s="60">
      <c r="A12" s="115" t="inlineStr">
        <is>
          <t>Zuivel</t>
        </is>
      </c>
      <c r="B12" s="98" t="inlineStr">
        <is>
          <t>Skyr 500g</t>
        </is>
      </c>
      <c r="C12" s="116" t="n"/>
      <c r="D12" s="117" t="n"/>
    </row>
    <row r="13" ht="15" customHeight="1" s="60">
      <c r="A13" s="115" t="inlineStr">
        <is>
          <t>Zuivel</t>
        </is>
      </c>
      <c r="B13" s="98" t="inlineStr">
        <is>
          <t>Eieren 12st</t>
        </is>
      </c>
      <c r="C13" s="116" t="n"/>
      <c r="D13" s="117" t="n"/>
    </row>
    <row r="14" ht="15" customHeight="1" s="60">
      <c r="A14" s="115" t="inlineStr">
        <is>
          <t>Granen</t>
        </is>
      </c>
      <c r="B14" s="98" t="inlineStr">
        <is>
          <t>Havermout 500g</t>
        </is>
      </c>
      <c r="C14" s="116" t="n"/>
      <c r="D14" s="117" t="n"/>
    </row>
    <row r="15" ht="15" customHeight="1" s="60">
      <c r="A15" s="115" t="inlineStr">
        <is>
          <t>Granen</t>
        </is>
      </c>
      <c r="B15" s="98" t="inlineStr">
        <is>
          <t>Rijst 500g</t>
        </is>
      </c>
      <c r="C15" s="116" t="n"/>
      <c r="D15" s="117" t="n"/>
    </row>
    <row r="16" ht="15" customHeight="1" s="60">
      <c r="A16" s="115" t="inlineStr">
        <is>
          <t>Granen</t>
        </is>
      </c>
      <c r="B16" s="98" t="inlineStr">
        <is>
          <t>Pasta 500g</t>
        </is>
      </c>
      <c r="C16" s="116" t="n"/>
      <c r="D16" s="117" t="n"/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9" min="1" max="1"/>
    <col width="24" customWidth="1" style="59" min="2" max="2"/>
    <col width="18" customWidth="1" style="59" min="3" max="3"/>
    <col width="12" customWidth="1" style="59" min="4" max="4"/>
  </cols>
  <sheetData>
    <row r="1" ht="17.25" customHeight="1" s="60">
      <c r="A1" s="118" t="inlineStr">
        <is>
          <t>RECEPTEN</t>
        </is>
      </c>
    </row>
    <row r="2" ht="15" customHeight="1" s="60">
      <c r="A2" s="108" t="inlineStr">
        <is>
          <t>10 kok-recepten met macro's en bereiding. Macro's zijn schattingen voor de genoemde hoeveelheden.</t>
        </is>
      </c>
    </row>
    <row r="4" ht="21.75" customHeight="1" s="60">
      <c r="A4" s="119" t="n">
        <v>1</v>
      </c>
      <c r="B4" s="120" t="inlineStr">
        <is>
          <t>Hartige Havermout met Ei</t>
        </is>
      </c>
    </row>
    <row r="5" ht="15" customHeight="1" s="60">
      <c r="A5" s="121" t="inlineStr">
        <is>
          <t>Ontbijt · Fibermaxxing / Herstel   —   420 kcal · 22g P · 42g C · 16g F · 9g vezels</t>
        </is>
      </c>
    </row>
    <row r="6" ht="15" customHeight="1" s="60">
      <c r="A6" s="122" t="inlineStr">
        <is>
          <t>INGREDIËNTEN</t>
        </is>
      </c>
    </row>
    <row r="7" ht="15" customHeight="1" s="60">
      <c r="B7" s="123" t="inlineStr">
        <is>
          <t>Havermout</t>
        </is>
      </c>
      <c r="D7" s="124" t="inlineStr">
        <is>
          <t>50 g</t>
        </is>
      </c>
    </row>
    <row r="8" ht="15" customHeight="1" s="60">
      <c r="B8" s="123" t="inlineStr">
        <is>
          <t>Vetarme bouillon</t>
        </is>
      </c>
      <c r="D8" s="124" t="inlineStr">
        <is>
          <t>150 ml</t>
        </is>
      </c>
    </row>
    <row r="9" ht="15" customHeight="1" s="60">
      <c r="B9" s="123" t="inlineStr">
        <is>
          <t>Verse spinazie</t>
        </is>
      </c>
      <c r="D9" s="124" t="inlineStr">
        <is>
          <t>100 g</t>
        </is>
      </c>
    </row>
    <row r="10" ht="15" customHeight="1" s="60">
      <c r="B10" s="123" t="inlineStr">
        <is>
          <t>Ei (gepocheerd)</t>
        </is>
      </c>
      <c r="D10" s="124" t="inlineStr">
        <is>
          <t>1 (50 g)</t>
        </is>
      </c>
    </row>
    <row r="11" ht="15" customHeight="1" s="60">
      <c r="B11" s="123" t="inlineStr">
        <is>
          <t>Pompoenpitten</t>
        </is>
      </c>
      <c r="D11" s="124" t="inlineStr">
        <is>
          <t>15 g</t>
        </is>
      </c>
    </row>
    <row r="12" ht="15" customHeight="1" s="60">
      <c r="A12" s="122" t="inlineStr">
        <is>
          <t>BEREIDING</t>
        </is>
      </c>
    </row>
    <row r="13" ht="27.75" customHeight="1" s="60">
      <c r="A13" s="125" t="n">
        <v>1</v>
      </c>
      <c r="B13" s="126" t="inlineStr">
        <is>
          <t>Breng de bouillon in een steelpan tegen de kook aan.</t>
        </is>
      </c>
    </row>
    <row r="14" ht="27.75" customHeight="1" s="60">
      <c r="A14" s="125" t="n">
        <v>2</v>
      </c>
      <c r="B14" s="126" t="inlineStr">
        <is>
          <t>Roer de havermout erdoor en kook 4–5 min, al roerend, tot romig.</t>
        </is>
      </c>
    </row>
    <row r="15" ht="27.75" customHeight="1" s="60">
      <c r="A15" s="125" t="n">
        <v>3</v>
      </c>
      <c r="B15" s="126" t="inlineStr">
        <is>
          <t>Schep de laatste minuut de spinazie erdoor tot net geslonken; breng op smaak.</t>
        </is>
      </c>
    </row>
    <row r="16" ht="27.75" customHeight="1" s="60">
      <c r="A16" s="125" t="n">
        <v>4</v>
      </c>
      <c r="B16" s="126" t="inlineStr">
        <is>
          <t>Pocheer ondertussen het ei ~3 min in zacht kokend water met een scheutje azijn.</t>
        </is>
      </c>
    </row>
    <row r="17" ht="27.75" customHeight="1" s="60">
      <c r="A17" s="125" t="n">
        <v>5</v>
      </c>
      <c r="B17" s="126" t="inlineStr">
        <is>
          <t>Schep de havermout in een kom, leg het ei erop, strooi de pompoenpitten erover en wat peper.</t>
        </is>
      </c>
    </row>
    <row r="19" ht="21.75" customHeight="1" s="60">
      <c r="A19" s="119" t="n">
        <v>2</v>
      </c>
      <c r="B19" s="120" t="inlineStr">
        <is>
          <t>Vegan Linzen-Kikkererwten Curry</t>
        </is>
      </c>
    </row>
    <row r="20" ht="15" customHeight="1" s="60">
      <c r="A20" s="121" t="inlineStr">
        <is>
          <t>Diner · Plantaardig / Spieropbouw   —   510 kcal · 26g P · 58g C · 15g F · 14g vezels</t>
        </is>
      </c>
    </row>
    <row r="21" ht="15" customHeight="1" s="60">
      <c r="A21" s="122" t="inlineStr">
        <is>
          <t>INGREDIËNTEN</t>
        </is>
      </c>
    </row>
    <row r="22" ht="15" customHeight="1" s="60">
      <c r="B22" s="123" t="inlineStr">
        <is>
          <t>Linzen (uit blik)</t>
        </is>
      </c>
      <c r="D22" s="124" t="inlineStr">
        <is>
          <t>100 g</t>
        </is>
      </c>
    </row>
    <row r="23" ht="15" customHeight="1" s="60">
      <c r="B23" s="123" t="inlineStr">
        <is>
          <t>Kikkererwten (uit blik)</t>
        </is>
      </c>
      <c r="D23" s="124" t="inlineStr">
        <is>
          <t>100 g</t>
        </is>
      </c>
    </row>
    <row r="24" ht="15" customHeight="1" s="60">
      <c r="B24" s="123" t="inlineStr">
        <is>
          <t>Tomatenblokjes</t>
        </is>
      </c>
      <c r="D24" s="124" t="inlineStr">
        <is>
          <t>150 g</t>
        </is>
      </c>
    </row>
    <row r="25" ht="15" customHeight="1" s="60">
      <c r="B25" s="123" t="inlineStr">
        <is>
          <t>Lichte kokosmelk</t>
        </is>
      </c>
      <c r="D25" s="124" t="inlineStr">
        <is>
          <t>50 ml</t>
        </is>
      </c>
    </row>
    <row r="26" ht="15" customHeight="1" s="60">
      <c r="B26" s="123" t="inlineStr">
        <is>
          <t>Boerenkool</t>
        </is>
      </c>
      <c r="D26" s="124" t="inlineStr">
        <is>
          <t>30 g</t>
        </is>
      </c>
    </row>
    <row r="27" ht="15" customHeight="1" s="60">
      <c r="B27" s="123" t="inlineStr">
        <is>
          <t>Currykruiden</t>
        </is>
      </c>
      <c r="D27" s="124" t="inlineStr">
        <is>
          <t>5 g</t>
        </is>
      </c>
    </row>
    <row r="28" ht="15" customHeight="1" s="60">
      <c r="A28" s="122" t="inlineStr">
        <is>
          <t>BEREIDING</t>
        </is>
      </c>
    </row>
    <row r="29" ht="27.75" customHeight="1" s="60">
      <c r="A29" s="125" t="n">
        <v>1</v>
      </c>
      <c r="B29" s="126" t="inlineStr">
        <is>
          <t>Verwarm een scheutje olie; rooster de currykruiden ~30 sec tot ze geuren.</t>
        </is>
      </c>
    </row>
    <row r="30" ht="15.75" customHeight="1" s="60">
      <c r="A30" s="125" t="n">
        <v>2</v>
      </c>
      <c r="B30" s="126" t="inlineStr">
        <is>
          <t>Voeg de tomatenblokjes toe en laat 3–4 min inkoken.</t>
        </is>
      </c>
    </row>
    <row r="31" ht="27.75" customHeight="1" s="60">
      <c r="A31" s="125" t="n">
        <v>3</v>
      </c>
      <c r="B31" s="126" t="inlineStr">
        <is>
          <t>Roer de uitgelekte linzen en kikkererwten erdoor; laat 5 min pruttelen.</t>
        </is>
      </c>
    </row>
    <row r="32" ht="27.75" customHeight="1" s="60">
      <c r="A32" s="125" t="n">
        <v>4</v>
      </c>
      <c r="B32" s="126" t="inlineStr">
        <is>
          <t>Giet de kokosmelk erbij, voeg de boerenkool toe en kook 2–3 min tot de kool zacht is.</t>
        </is>
      </c>
    </row>
    <row r="33" ht="27.75" customHeight="1" s="60">
      <c r="A33" s="125" t="n">
        <v>5</v>
      </c>
      <c r="B33" s="126" t="inlineStr">
        <is>
          <t>Breng op smaak met zout; maak af met citroen of koriander. Serveer zo of met rijst.</t>
        </is>
      </c>
    </row>
    <row r="35" ht="21.75" customHeight="1" s="60">
      <c r="A35" s="119" t="n">
        <v>3</v>
      </c>
      <c r="B35" s="120" t="inlineStr">
        <is>
          <t>Matcha Protein Overnight Oats</t>
        </is>
      </c>
    </row>
    <row r="36" ht="15" customHeight="1" s="60">
      <c r="A36" s="121" t="inlineStr">
        <is>
          <t>Ontbijt · Focus / Pre-workout   —   460 kcal · 32g P · 48g C · 12g F · 8g vezels</t>
        </is>
      </c>
    </row>
    <row r="37" ht="15" customHeight="1" s="60">
      <c r="A37" s="122" t="inlineStr">
        <is>
          <t>INGREDIËNTEN</t>
        </is>
      </c>
    </row>
    <row r="38" ht="15" customHeight="1" s="60">
      <c r="B38" s="123" t="inlineStr">
        <is>
          <t>Havermout</t>
        </is>
      </c>
      <c r="D38" s="124" t="inlineStr">
        <is>
          <t>45 g</t>
        </is>
      </c>
    </row>
    <row r="39" ht="15" customHeight="1" s="60">
      <c r="B39" s="123" t="inlineStr">
        <is>
          <t>Vanille-eiwitpoeder</t>
        </is>
      </c>
      <c r="D39" s="124" t="inlineStr">
        <is>
          <t>30 g</t>
        </is>
      </c>
    </row>
    <row r="40" ht="15" customHeight="1" s="60">
      <c r="B40" s="123" t="inlineStr">
        <is>
          <t>Matchapoeder</t>
        </is>
      </c>
      <c r="D40" s="124" t="inlineStr">
        <is>
          <t>2 g</t>
        </is>
      </c>
    </row>
    <row r="41" ht="15" customHeight="1" s="60">
      <c r="B41" s="123" t="inlineStr">
        <is>
          <t>Chiazaad</t>
        </is>
      </c>
      <c r="D41" s="124" t="inlineStr">
        <is>
          <t>10 g</t>
        </is>
      </c>
    </row>
    <row r="42" ht="15" customHeight="1" s="60">
      <c r="B42" s="123" t="inlineStr">
        <is>
          <t>Amandelmelk</t>
        </is>
      </c>
      <c r="D42" s="124" t="inlineStr">
        <is>
          <t>150 ml</t>
        </is>
      </c>
    </row>
    <row r="43" ht="15" customHeight="1" s="60">
      <c r="A43" s="122" t="inlineStr">
        <is>
          <t>BEREIDING</t>
        </is>
      </c>
    </row>
    <row r="44" ht="27.75" customHeight="1" s="60">
      <c r="A44" s="125" t="n">
        <v>1</v>
      </c>
      <c r="B44" s="126" t="inlineStr">
        <is>
          <t>Klop in een pot de amandelmelk met het eiwitpoeder en de matcha glad.</t>
        </is>
      </c>
    </row>
    <row r="45" ht="15.75" customHeight="1" s="60">
      <c r="A45" s="125" t="n">
        <v>2</v>
      </c>
      <c r="B45" s="126" t="inlineStr">
        <is>
          <t>Roer de havermout en het chiazaad erdoor.</t>
        </is>
      </c>
    </row>
    <row r="46" ht="27.75" customHeight="1" s="60">
      <c r="A46" s="125" t="n">
        <v>3</v>
      </c>
      <c r="B46" s="126" t="inlineStr">
        <is>
          <t>Sluit af en zet een nacht in de koelkast (minimaal 4 uur).</t>
        </is>
      </c>
    </row>
    <row r="47" ht="27.75" customHeight="1" s="60">
      <c r="A47" s="125" t="n">
        <v>4</v>
      </c>
      <c r="B47" s="126" t="inlineStr">
        <is>
          <t>Roer 's ochtends door; verdun met een scheutje melk als het te dik is. Top met fruit naar wens.</t>
        </is>
      </c>
    </row>
    <row r="49" ht="21.75" customHeight="1" s="60">
      <c r="A49" s="119" t="n">
        <v>4</v>
      </c>
      <c r="B49" s="120" t="inlineStr">
        <is>
          <t>Zalm &amp; Quinoa Clean Bowl</t>
        </is>
      </c>
    </row>
    <row r="50" ht="15" customHeight="1" s="60">
      <c r="A50" s="121" t="inlineStr">
        <is>
          <t>Diner · Clean label / Omega-3   —   580 kcal · 38g P · 45g C · 22g F · 7g vezels</t>
        </is>
      </c>
    </row>
    <row r="51" ht="15" customHeight="1" s="60">
      <c r="A51" s="122" t="inlineStr">
        <is>
          <t>INGREDIËNTEN</t>
        </is>
      </c>
    </row>
    <row r="52" ht="15" customHeight="1" s="60">
      <c r="B52" s="123" t="inlineStr">
        <is>
          <t>Quinoa (droog)</t>
        </is>
      </c>
      <c r="D52" s="124" t="inlineStr">
        <is>
          <t>60 g</t>
        </is>
      </c>
    </row>
    <row r="53" ht="15" customHeight="1" s="60">
      <c r="B53" s="123" t="inlineStr">
        <is>
          <t>Zalmfilet</t>
        </is>
      </c>
      <c r="D53" s="124" t="inlineStr">
        <is>
          <t>125 g</t>
        </is>
      </c>
    </row>
    <row r="54" ht="15" customHeight="1" s="60">
      <c r="B54" s="123" t="inlineStr">
        <is>
          <t>Broccoli (gestoomd)</t>
        </is>
      </c>
      <c r="D54" s="124" t="inlineStr">
        <is>
          <t>100 g</t>
        </is>
      </c>
    </row>
    <row r="55" ht="15" customHeight="1" s="60">
      <c r="B55" s="123" t="inlineStr">
        <is>
          <t>Edamameboontjes</t>
        </is>
      </c>
      <c r="D55" s="124" t="inlineStr">
        <is>
          <t>50 g</t>
        </is>
      </c>
    </row>
    <row r="56" ht="15" customHeight="1" s="60">
      <c r="B56" s="123" t="inlineStr">
        <is>
          <t>Olijfolie + citroen</t>
        </is>
      </c>
      <c r="D56" s="124" t="inlineStr">
        <is>
          <t>10 g</t>
        </is>
      </c>
    </row>
    <row r="57" ht="15" customHeight="1" s="60">
      <c r="A57" s="122" t="inlineStr">
        <is>
          <t>BEREIDING</t>
        </is>
      </c>
    </row>
    <row r="58" ht="27.75" customHeight="1" s="60">
      <c r="A58" s="125" t="n">
        <v>1</v>
      </c>
      <c r="B58" s="126" t="inlineStr">
        <is>
          <t>Spoel de quinoa en kook in dubbele hoeveelheid water 12–15 min tot gaar; laat afgedekt rusten.</t>
        </is>
      </c>
    </row>
    <row r="59" ht="42" customHeight="1" s="60">
      <c r="A59" s="125" t="n">
        <v>2</v>
      </c>
      <c r="B59" s="126" t="inlineStr">
        <is>
          <t>Breng de zalm op smaak en bak met de velkant naar beneden 3–4 min, draai dan 2 min (of oven 200°C ~12 min).</t>
        </is>
      </c>
    </row>
    <row r="60" ht="27.75" customHeight="1" s="60">
      <c r="A60" s="125" t="n">
        <v>3</v>
      </c>
      <c r="B60" s="126" t="inlineStr">
        <is>
          <t>Stoom de broccoli en edamame 4–5 min tot fris en net gaar.</t>
        </is>
      </c>
    </row>
    <row r="61" ht="27.75" customHeight="1" s="60">
      <c r="A61" s="125" t="n">
        <v>4</v>
      </c>
      <c r="B61" s="126" t="inlineStr">
        <is>
          <t>Klop de olijfolie met het citroensap, zout en peper.</t>
        </is>
      </c>
    </row>
    <row r="62" ht="27.75" customHeight="1" s="60">
      <c r="A62" s="125" t="n">
        <v>5</v>
      </c>
      <c r="B62" s="126" t="inlineStr">
        <is>
          <t>Bouw de bowl met quinoa, broccoli en edamame; verdeel de zalm erover en besprenkel met dressing.</t>
        </is>
      </c>
    </row>
    <row r="64" ht="21.75" customHeight="1" s="60">
      <c r="A64" s="119" t="n">
        <v>5</v>
      </c>
      <c r="B64" s="120" t="inlineStr">
        <is>
          <t>Tempeh &amp; Broccoli Stir-Fry</t>
        </is>
      </c>
    </row>
    <row r="65" ht="15" customHeight="1" s="60">
      <c r="A65" s="121" t="inlineStr">
        <is>
          <t>Diner · Plantaardig / Darmflora   —   490 kcal · 28g P · 35g C · 21g F · 10g vezels</t>
        </is>
      </c>
    </row>
    <row r="66" ht="15" customHeight="1" s="60">
      <c r="A66" s="122" t="inlineStr">
        <is>
          <t>INGREDIËNTEN</t>
        </is>
      </c>
    </row>
    <row r="67" ht="15" customHeight="1" s="60">
      <c r="B67" s="123" t="inlineStr">
        <is>
          <t>Tempeh</t>
        </is>
      </c>
      <c r="D67" s="124" t="inlineStr">
        <is>
          <t>120 g</t>
        </is>
      </c>
    </row>
    <row r="68" ht="15" customHeight="1" s="60">
      <c r="B68" s="123" t="inlineStr">
        <is>
          <t>Broccoliroosjes</t>
        </is>
      </c>
      <c r="D68" s="124" t="inlineStr">
        <is>
          <t>150 g</t>
        </is>
      </c>
    </row>
    <row r="69" ht="15" customHeight="1" s="60">
      <c r="B69" s="123" t="inlineStr">
        <is>
          <t>Paprika</t>
        </is>
      </c>
      <c r="D69" s="124" t="inlineStr">
        <is>
          <t>75 g</t>
        </is>
      </c>
    </row>
    <row r="70" ht="15" customHeight="1" s="60">
      <c r="B70" s="123" t="inlineStr">
        <is>
          <t>Zilvervliesrijst (droog)</t>
        </is>
      </c>
      <c r="D70" s="124" t="inlineStr">
        <is>
          <t>50 g</t>
        </is>
      </c>
    </row>
    <row r="71" ht="15" customHeight="1" s="60">
      <c r="B71" s="123" t="inlineStr">
        <is>
          <t>Tamari, gember, knoflook</t>
        </is>
      </c>
      <c r="D71" s="124" t="inlineStr">
        <is>
          <t>15 g</t>
        </is>
      </c>
    </row>
    <row r="72" ht="15" customHeight="1" s="60">
      <c r="A72" s="122" t="inlineStr">
        <is>
          <t>BEREIDING</t>
        </is>
      </c>
    </row>
    <row r="73" ht="15.75" customHeight="1" s="60">
      <c r="A73" s="125" t="n">
        <v>1</v>
      </c>
      <c r="B73" s="126" t="inlineStr">
        <is>
          <t>Kook de zilvervliesrijst (ca. 25 min) en houd warm.</t>
        </is>
      </c>
    </row>
    <row r="74" ht="27.75" customHeight="1" s="60">
      <c r="A74" s="125" t="n">
        <v>2</v>
      </c>
      <c r="B74" s="126" t="inlineStr">
        <is>
          <t>Snijd de tempeh in blokjes en bak in een hete pan met wat olie goudbruin rondom.</t>
        </is>
      </c>
    </row>
    <row r="75" ht="27.75" customHeight="1" s="60">
      <c r="A75" s="125" t="n">
        <v>3</v>
      </c>
      <c r="B75" s="126" t="inlineStr">
        <is>
          <t>Voeg broccoli en paprika toe; roerbak 4–5 min, met een scheutje water om te stomen.</t>
        </is>
      </c>
    </row>
    <row r="76" ht="27.75" customHeight="1" s="60">
      <c r="A76" s="125" t="n">
        <v>4</v>
      </c>
      <c r="B76" s="126" t="inlineStr">
        <is>
          <t>Voeg geraspte gember en knoflook toe (30 sec), dan de tamari; schep om.</t>
        </is>
      </c>
    </row>
    <row r="77" ht="15.75" customHeight="1" s="60">
      <c r="A77" s="125" t="n">
        <v>5</v>
      </c>
      <c r="B77" s="126" t="inlineStr">
        <is>
          <t>Serveer over de rijst.</t>
        </is>
      </c>
    </row>
    <row r="79" ht="21.75" customHeight="1" s="60">
      <c r="A79" s="119" t="n">
        <v>6</v>
      </c>
      <c r="B79" s="120" t="inlineStr">
        <is>
          <t>Ashwagandha Herstel Shake</t>
        </is>
      </c>
    </row>
    <row r="80" ht="15" customHeight="1" s="60">
      <c r="A80" s="121" t="inlineStr">
        <is>
          <t>Snack · Adaptogenen / Rust   —   340 kcal · 26g P · 28g C · 8g F · 6g vezels</t>
        </is>
      </c>
    </row>
    <row r="81" ht="15" customHeight="1" s="60">
      <c r="A81" s="122" t="inlineStr">
        <is>
          <t>INGREDIËNTEN</t>
        </is>
      </c>
    </row>
    <row r="82" ht="15" customHeight="1" s="60">
      <c r="B82" s="123" t="inlineStr">
        <is>
          <t>Bevroren banaan</t>
        </is>
      </c>
      <c r="D82" s="124" t="inlineStr">
        <is>
          <t>120 g</t>
        </is>
      </c>
    </row>
    <row r="83" ht="15" customHeight="1" s="60">
      <c r="B83" s="123" t="inlineStr">
        <is>
          <t>Eiwitpoeder</t>
        </is>
      </c>
      <c r="D83" s="124" t="inlineStr">
        <is>
          <t>30 g</t>
        </is>
      </c>
    </row>
    <row r="84" ht="15" customHeight="1" s="60">
      <c r="B84" s="123" t="inlineStr">
        <is>
          <t>Amandelmelk</t>
        </is>
      </c>
      <c r="D84" s="124" t="inlineStr">
        <is>
          <t>250 ml</t>
        </is>
      </c>
    </row>
    <row r="85" ht="15" customHeight="1" s="60">
      <c r="B85" s="123" t="inlineStr">
        <is>
          <t>Amandelpasta</t>
        </is>
      </c>
      <c r="D85" s="124" t="inlineStr">
        <is>
          <t>10 g</t>
        </is>
      </c>
    </row>
    <row r="86" ht="15" customHeight="1" s="60">
      <c r="B86" s="123" t="inlineStr">
        <is>
          <t>Ashwagandhapoeder</t>
        </is>
      </c>
      <c r="D86" s="124" t="inlineStr">
        <is>
          <t>3 g</t>
        </is>
      </c>
    </row>
    <row r="87" ht="15" customHeight="1" s="60">
      <c r="A87" s="122" t="inlineStr">
        <is>
          <t>BEREIDING</t>
        </is>
      </c>
    </row>
    <row r="88" ht="15.75" customHeight="1" s="60">
      <c r="A88" s="125" t="n">
        <v>1</v>
      </c>
      <c r="B88" s="126" t="inlineStr">
        <is>
          <t>Doe alles in een blender.</t>
        </is>
      </c>
    </row>
    <row r="89" ht="15.75" customHeight="1" s="60">
      <c r="A89" s="125" t="n">
        <v>2</v>
      </c>
      <c r="B89" s="126" t="inlineStr">
        <is>
          <t>Mix 30–45 sec tot glad en dik.</t>
        </is>
      </c>
    </row>
    <row r="90" ht="27.75" customHeight="1" s="60">
      <c r="A90" s="125" t="n">
        <v>3</v>
      </c>
      <c r="B90" s="126" t="inlineStr">
        <is>
          <t>Verdun met wat melk of maak dikker met ijs naar smaak. Direct drinken.</t>
        </is>
      </c>
    </row>
    <row r="92" ht="21.75" customHeight="1" s="60">
      <c r="A92" s="119" t="n">
        <v>7</v>
      </c>
      <c r="B92" s="120" t="inlineStr">
        <is>
          <t>Hüttenkäse &amp; Avocado Toast</t>
        </is>
      </c>
    </row>
    <row r="93" ht="15" customHeight="1" s="60">
      <c r="A93" s="121" t="inlineStr">
        <is>
          <t>Ontbijt · Snel eiwit / Gezonde vetten   —   390 kcal · 24g P · 30g C · 17g F · 8g vezels</t>
        </is>
      </c>
    </row>
    <row r="94" ht="15" customHeight="1" s="60">
      <c r="A94" s="122" t="inlineStr">
        <is>
          <t>INGREDIËNTEN</t>
        </is>
      </c>
    </row>
    <row r="95" ht="15" customHeight="1" s="60">
      <c r="B95" s="123" t="inlineStr">
        <is>
          <t>Volkoren-/zuurdesembrood</t>
        </is>
      </c>
      <c r="D95" s="124" t="inlineStr">
        <is>
          <t>70 g</t>
        </is>
      </c>
    </row>
    <row r="96" ht="15" customHeight="1" s="60">
      <c r="B96" s="123" t="inlineStr">
        <is>
          <t>Hüttenkäse</t>
        </is>
      </c>
      <c r="D96" s="124" t="inlineStr">
        <is>
          <t>100 g</t>
        </is>
      </c>
    </row>
    <row r="97" ht="15" customHeight="1" s="60">
      <c r="B97" s="123" t="inlineStr">
        <is>
          <t>Avocado</t>
        </is>
      </c>
      <c r="D97" s="124" t="inlineStr">
        <is>
          <t>75 g</t>
        </is>
      </c>
    </row>
    <row r="98" ht="15" customHeight="1" s="60">
      <c r="B98" s="123" t="inlineStr">
        <is>
          <t>Chili, peper, zout</t>
        </is>
      </c>
      <c r="D98" s="124" t="inlineStr">
        <is>
          <t>naar smaak</t>
        </is>
      </c>
    </row>
    <row r="99" ht="15" customHeight="1" s="60">
      <c r="A99" s="122" t="inlineStr">
        <is>
          <t>BEREIDING</t>
        </is>
      </c>
    </row>
    <row r="100" ht="15.75" customHeight="1" s="60">
      <c r="A100" s="125" t="n">
        <v>1</v>
      </c>
      <c r="B100" s="126" t="inlineStr">
        <is>
          <t>Rooster het brood naar wens.</t>
        </is>
      </c>
    </row>
    <row r="101" ht="15.75" customHeight="1" s="60">
      <c r="A101" s="125" t="n">
        <v>2</v>
      </c>
      <c r="B101" s="126" t="inlineStr">
        <is>
          <t>Smeer de hüttenkäse over het warme brood.</t>
        </is>
      </c>
    </row>
    <row r="102" ht="15.75" customHeight="1" s="60">
      <c r="A102" s="125" t="n">
        <v>3</v>
      </c>
      <c r="B102" s="126" t="inlineStr">
        <is>
          <t>Prak of snijd de avocado erop.</t>
        </is>
      </c>
    </row>
    <row r="103" ht="27.75" customHeight="1" s="60">
      <c r="A103" s="125" t="n">
        <v>4</v>
      </c>
      <c r="B103" s="126" t="inlineStr">
        <is>
          <t>Maak af met chilivlokken, zout en peper, en een kneepje citroen naar wens.</t>
        </is>
      </c>
    </row>
    <row r="105" ht="21.75" customHeight="1" s="60">
      <c r="A105" s="119" t="n">
        <v>8</v>
      </c>
      <c r="B105" s="120" t="inlineStr">
        <is>
          <t>Kip &amp; Zoete Aardappel Traybake</t>
        </is>
      </c>
    </row>
    <row r="106" ht="15" customHeight="1" s="60">
      <c r="A106" s="121" t="inlineStr">
        <is>
          <t>Diner · Clean label / Duursport   —   540 kcal · 42g P · 52g C · 12g F · 8g vezels</t>
        </is>
      </c>
    </row>
    <row r="107" ht="15" customHeight="1" s="60">
      <c r="A107" s="122" t="inlineStr">
        <is>
          <t>INGREDIËNTEN</t>
        </is>
      </c>
    </row>
    <row r="108" ht="15" customHeight="1" s="60">
      <c r="B108" s="123" t="inlineStr">
        <is>
          <t>Kipfilet</t>
        </is>
      </c>
      <c r="D108" s="124" t="inlineStr">
        <is>
          <t>150 g</t>
        </is>
      </c>
    </row>
    <row r="109" ht="15" customHeight="1" s="60">
      <c r="B109" s="123" t="inlineStr">
        <is>
          <t>Zoete aardappel</t>
        </is>
      </c>
      <c r="D109" s="124" t="inlineStr">
        <is>
          <t>200 g</t>
        </is>
      </c>
    </row>
    <row r="110" ht="15" customHeight="1" s="60">
      <c r="B110" s="123" t="inlineStr">
        <is>
          <t>Aspergepunten</t>
        </is>
      </c>
      <c r="D110" s="124" t="inlineStr">
        <is>
          <t>100 g</t>
        </is>
      </c>
    </row>
    <row r="111" ht="15" customHeight="1" s="60">
      <c r="B111" s="123" t="inlineStr">
        <is>
          <t>Olijfolie</t>
        </is>
      </c>
      <c r="D111" s="124" t="inlineStr">
        <is>
          <t>12 g</t>
        </is>
      </c>
    </row>
    <row r="112" ht="15" customHeight="1" s="60">
      <c r="B112" s="123" t="inlineStr">
        <is>
          <t>Paprika, zout, rozemarijn</t>
        </is>
      </c>
      <c r="D112" s="124" t="inlineStr">
        <is>
          <t>3 g</t>
        </is>
      </c>
    </row>
    <row r="113" ht="15" customHeight="1" s="60">
      <c r="A113" s="122" t="inlineStr">
        <is>
          <t>BEREIDING</t>
        </is>
      </c>
    </row>
    <row r="114" ht="42" customHeight="1" s="60">
      <c r="A114" s="125" t="n">
        <v>1</v>
      </c>
      <c r="B114" s="126" t="inlineStr">
        <is>
          <t>Verwarm de oven op 200°C. Snijd de zoete aardappel in blokjes en meng met de helft van de olie, paprikapoeder en zout.</t>
        </is>
      </c>
    </row>
    <row r="115" ht="15.75" customHeight="1" s="60">
      <c r="A115" s="125" t="n">
        <v>2</v>
      </c>
      <c r="B115" s="126" t="inlineStr">
        <is>
          <t>Rooster de zoete aardappel 15 min op een bakplaat.</t>
        </is>
      </c>
    </row>
    <row r="116" ht="27.75" customHeight="1" s="60">
      <c r="A116" s="125" t="n">
        <v>3</v>
      </c>
      <c r="B116" s="126" t="inlineStr">
        <is>
          <t>Wrijf de kip in met de rest van de olie en de rozemarijn; leg op de plaat en rooster 15 min.</t>
        </is>
      </c>
    </row>
    <row r="117" ht="27.75" customHeight="1" s="60">
      <c r="A117" s="125" t="n">
        <v>4</v>
      </c>
      <c r="B117" s="126" t="inlineStr">
        <is>
          <t>Voeg de asperges toe en rooster nog 8–10 min, tot de kip 74°C is.</t>
        </is>
      </c>
    </row>
    <row r="118" ht="15.75" customHeight="1" s="60">
      <c r="A118" s="125" t="n">
        <v>5</v>
      </c>
      <c r="B118" s="126" t="inlineStr">
        <is>
          <t>Laat 3 min rusten en serveer.</t>
        </is>
      </c>
    </row>
    <row r="120" ht="21.75" customHeight="1" s="60">
      <c r="A120" s="119" t="n">
        <v>9</v>
      </c>
      <c r="B120" s="120" t="inlineStr">
        <is>
          <t>Chiapudding met Blauwe Bessen</t>
        </is>
      </c>
    </row>
    <row r="121" ht="15" customHeight="1" s="60">
      <c r="A121" s="121" t="inlineStr">
        <is>
          <t>Snack · Fibermaxxing / Antioxidanten   —   310 kcal · 15g P · 22g C · 14g F · 11g vezels</t>
        </is>
      </c>
    </row>
    <row r="122" ht="15" customHeight="1" s="60">
      <c r="A122" s="122" t="inlineStr">
        <is>
          <t>INGREDIËNTEN</t>
        </is>
      </c>
    </row>
    <row r="123" ht="15" customHeight="1" s="60">
      <c r="B123" s="123" t="inlineStr">
        <is>
          <t>Chiazaad</t>
        </is>
      </c>
      <c r="D123" s="124" t="inlineStr">
        <is>
          <t>25 g</t>
        </is>
      </c>
    </row>
    <row r="124" ht="15" customHeight="1" s="60">
      <c r="B124" s="123" t="inlineStr">
        <is>
          <t>Lupinemeel / eiwitpoeder</t>
        </is>
      </c>
      <c r="D124" s="124" t="inlineStr">
        <is>
          <t>15 g</t>
        </is>
      </c>
    </row>
    <row r="125" ht="15" customHeight="1" s="60">
      <c r="B125" s="123" t="inlineStr">
        <is>
          <t>Plantaardige melk</t>
        </is>
      </c>
      <c r="D125" s="124" t="inlineStr">
        <is>
          <t>150 ml</t>
        </is>
      </c>
    </row>
    <row r="126" ht="15" customHeight="1" s="60">
      <c r="B126" s="123" t="inlineStr">
        <is>
          <t>Blauwe bessen</t>
        </is>
      </c>
      <c r="D126" s="124" t="inlineStr">
        <is>
          <t>75 g</t>
        </is>
      </c>
    </row>
    <row r="127" ht="15" customHeight="1" s="60">
      <c r="B127" s="123" t="inlineStr">
        <is>
          <t>Kaneel</t>
        </is>
      </c>
      <c r="D127" s="124" t="inlineStr">
        <is>
          <t>1 g</t>
        </is>
      </c>
    </row>
    <row r="128" ht="15" customHeight="1" s="60">
      <c r="A128" s="122" t="inlineStr">
        <is>
          <t>BEREIDING</t>
        </is>
      </c>
    </row>
    <row r="129" ht="27.75" customHeight="1" s="60">
      <c r="A129" s="125" t="n">
        <v>1</v>
      </c>
      <c r="B129" s="126" t="inlineStr">
        <is>
          <t>Klop de plantaardige melk met het lupinemeel/eiwitpoeder en kaneel.</t>
        </is>
      </c>
    </row>
    <row r="130" ht="27.75" customHeight="1" s="60">
      <c r="A130" s="125" t="n">
        <v>2</v>
      </c>
      <c r="B130" s="126" t="inlineStr">
        <is>
          <t>Roer het chiazaad erdoor; wacht 5 min en roer opnieuw tegen klontjes.</t>
        </is>
      </c>
    </row>
    <row r="131" ht="27.75" customHeight="1" s="60">
      <c r="A131" s="125" t="n">
        <v>3</v>
      </c>
      <c r="B131" s="126" t="inlineStr">
        <is>
          <t>Zet 2 uur of een nacht in de koelkast tot het is opgesteven.</t>
        </is>
      </c>
    </row>
    <row r="132" ht="15.75" customHeight="1" s="60">
      <c r="A132" s="125" t="n">
        <v>4</v>
      </c>
      <c r="B132" s="126" t="inlineStr">
        <is>
          <t>Top met de blauwe bessen voor het serveren.</t>
        </is>
      </c>
    </row>
    <row r="134" ht="21.75" customHeight="1" s="60">
      <c r="A134" s="119" t="n">
        <v>10</v>
      </c>
      <c r="B134" s="120" t="inlineStr">
        <is>
          <t>Eiwitrijke Proteïne Pannenkoeken</t>
        </is>
      </c>
    </row>
    <row r="135" ht="15" customHeight="1" s="60">
      <c r="A135" s="121" t="inlineStr">
        <is>
          <t>Ontbijt · Spierherstel / Klassieker   —   430 kcal · 35g P · 38g C · 9g F · 5g vezels</t>
        </is>
      </c>
    </row>
    <row r="136" ht="15" customHeight="1" s="60">
      <c r="A136" s="122" t="inlineStr">
        <is>
          <t>INGREDIËNTEN</t>
        </is>
      </c>
    </row>
    <row r="137" ht="15" customHeight="1" s="60">
      <c r="B137" s="123" t="inlineStr">
        <is>
          <t>Havermeel</t>
        </is>
      </c>
      <c r="D137" s="124" t="inlineStr">
        <is>
          <t>40 g</t>
        </is>
      </c>
    </row>
    <row r="138" ht="15" customHeight="1" s="60">
      <c r="B138" s="123" t="inlineStr">
        <is>
          <t>Whey- of erwteneiwit</t>
        </is>
      </c>
      <c r="D138" s="124" t="inlineStr">
        <is>
          <t>30 g</t>
        </is>
      </c>
    </row>
    <row r="139" ht="15" customHeight="1" s="60">
      <c r="B139" s="123" t="inlineStr">
        <is>
          <t>Ei</t>
        </is>
      </c>
      <c r="D139" s="124" t="inlineStr">
        <is>
          <t>1 (50 g)</t>
        </is>
      </c>
    </row>
    <row r="140" ht="15" customHeight="1" s="60">
      <c r="B140" s="123" t="inlineStr">
        <is>
          <t>Magere melk</t>
        </is>
      </c>
      <c r="D140" s="124" t="inlineStr">
        <is>
          <t>100 ml</t>
        </is>
      </c>
    </row>
    <row r="141" ht="15" customHeight="1" s="60">
      <c r="A141" s="122" t="inlineStr">
        <is>
          <t>BEREIDING</t>
        </is>
      </c>
    </row>
    <row r="142" ht="27.75" customHeight="1" s="60">
      <c r="A142" s="125" t="n">
        <v>1</v>
      </c>
      <c r="B142" s="126" t="inlineStr">
        <is>
          <t>Klop het havermeel, eiwitpoeder, ei en melk tot een glad beslag; laat 5 min rusten.</t>
        </is>
      </c>
    </row>
    <row r="143" ht="27.75" customHeight="1" s="60">
      <c r="A143" s="125" t="n">
        <v>2</v>
      </c>
      <c r="B143" s="126" t="inlineStr">
        <is>
          <t>Verwarm een anti-aanbakpan op middelhoog met wat spray-olie.</t>
        </is>
      </c>
    </row>
    <row r="144" ht="27.75" customHeight="1" s="60">
      <c r="A144" s="125" t="n">
        <v>3</v>
      </c>
      <c r="B144" s="126" t="inlineStr">
        <is>
          <t>Schep kleine pannenkoekjes; bak tot er belletjes komen (~1–2 min), draai om en bak 1 min verder.</t>
        </is>
      </c>
    </row>
    <row r="145" ht="15.75" customHeight="1" s="60">
      <c r="A145" s="125" t="n">
        <v>4</v>
      </c>
      <c r="B145" s="126" t="inlineStr">
        <is>
          <t>Stapel en top met fruit of yoghurt naar wens.</t>
        </is>
      </c>
    </row>
  </sheetData>
  <mergeCells count="114">
    <mergeCell ref="A5:D5"/>
    <mergeCell ref="B60:D60"/>
    <mergeCell ref="A20:D20"/>
    <mergeCell ref="B22:C22"/>
    <mergeCell ref="B44:D44"/>
    <mergeCell ref="A121:D121"/>
    <mergeCell ref="B86:C86"/>
    <mergeCell ref="B67:C67"/>
    <mergeCell ref="B143:D143"/>
    <mergeCell ref="B92:D92"/>
    <mergeCell ref="B30:D30"/>
    <mergeCell ref="B69:C69"/>
    <mergeCell ref="B142:D142"/>
    <mergeCell ref="B38:C38"/>
    <mergeCell ref="B112:C112"/>
    <mergeCell ref="B4:D4"/>
    <mergeCell ref="B62:D62"/>
    <mergeCell ref="B40:C40"/>
    <mergeCell ref="B127:C127"/>
    <mergeCell ref="B144:D144"/>
    <mergeCell ref="B55:C55"/>
    <mergeCell ref="B24:C24"/>
    <mergeCell ref="B134:D134"/>
    <mergeCell ref="B105:D105"/>
    <mergeCell ref="A2:D2"/>
    <mergeCell ref="B26:C26"/>
    <mergeCell ref="B41:C41"/>
    <mergeCell ref="B120:D120"/>
    <mergeCell ref="B138:C138"/>
    <mergeCell ref="B25:C25"/>
    <mergeCell ref="A135:D135"/>
    <mergeCell ref="B17:D17"/>
    <mergeCell ref="B73:D73"/>
    <mergeCell ref="B88:D88"/>
    <mergeCell ref="B27:C27"/>
    <mergeCell ref="B140:C140"/>
    <mergeCell ref="B19:D19"/>
    <mergeCell ref="B11:C11"/>
    <mergeCell ref="B74:D74"/>
    <mergeCell ref="B53:C53"/>
    <mergeCell ref="B76:D76"/>
    <mergeCell ref="B45:D45"/>
    <mergeCell ref="B84:C84"/>
    <mergeCell ref="B100:D100"/>
    <mergeCell ref="B75:D75"/>
    <mergeCell ref="B47:D47"/>
    <mergeCell ref="B59:D59"/>
    <mergeCell ref="B31:D31"/>
    <mergeCell ref="B46:D46"/>
    <mergeCell ref="B102:D102"/>
    <mergeCell ref="B95:C95"/>
    <mergeCell ref="B97:C97"/>
    <mergeCell ref="B54:C54"/>
    <mergeCell ref="B14:D14"/>
    <mergeCell ref="B125:C125"/>
    <mergeCell ref="B7:C7"/>
    <mergeCell ref="B145:D145"/>
    <mergeCell ref="B13:D13"/>
    <mergeCell ref="B56:C56"/>
    <mergeCell ref="B71:C71"/>
    <mergeCell ref="B96:C96"/>
    <mergeCell ref="A93:D93"/>
    <mergeCell ref="B52:C52"/>
    <mergeCell ref="B98:C98"/>
    <mergeCell ref="B49:D49"/>
    <mergeCell ref="B42:C42"/>
    <mergeCell ref="B82:C82"/>
    <mergeCell ref="A36:D36"/>
    <mergeCell ref="B114:D114"/>
    <mergeCell ref="B35:D35"/>
    <mergeCell ref="A65:D65"/>
    <mergeCell ref="B108:C108"/>
    <mergeCell ref="B9:C9"/>
    <mergeCell ref="B83:C83"/>
    <mergeCell ref="A80:D80"/>
    <mergeCell ref="B124:C124"/>
    <mergeCell ref="B115:D115"/>
    <mergeCell ref="B85:C85"/>
    <mergeCell ref="B130:D130"/>
    <mergeCell ref="B77:D77"/>
    <mergeCell ref="B126:C126"/>
    <mergeCell ref="B117:D117"/>
    <mergeCell ref="B109:C109"/>
    <mergeCell ref="A106:D106"/>
    <mergeCell ref="B61:D61"/>
    <mergeCell ref="B101:D101"/>
    <mergeCell ref="B132:D132"/>
    <mergeCell ref="B116:D116"/>
    <mergeCell ref="B29:D29"/>
    <mergeCell ref="B103:D103"/>
    <mergeCell ref="B39:C39"/>
    <mergeCell ref="B70:C70"/>
    <mergeCell ref="B118:D118"/>
    <mergeCell ref="B111:C111"/>
    <mergeCell ref="B23:C23"/>
    <mergeCell ref="B15:D15"/>
    <mergeCell ref="B8:C8"/>
    <mergeCell ref="B64:D64"/>
    <mergeCell ref="B33:D33"/>
    <mergeCell ref="B89:D89"/>
    <mergeCell ref="B79:D79"/>
    <mergeCell ref="B32:D32"/>
    <mergeCell ref="B10:C10"/>
    <mergeCell ref="B137:C137"/>
    <mergeCell ref="B129:D129"/>
    <mergeCell ref="B16:D16"/>
    <mergeCell ref="B90:D90"/>
    <mergeCell ref="B68:C68"/>
    <mergeCell ref="B139:C139"/>
    <mergeCell ref="A50:D50"/>
    <mergeCell ref="B131:D131"/>
    <mergeCell ref="B58:D58"/>
    <mergeCell ref="B123:C123"/>
    <mergeCell ref="B110:C1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2026-10-24T11:05:59Z</dcterms:created>
  <dcterms:modified xmlns:dcterms="http://purl.org/dc/terms/" xmlns:xsi="http://www.w3.org/2001/XMLSchema-instance" xsi:type="dcterms:W3CDTF">2026-10-25T11:51:26Z</dcterms:modified>
  <cp:revision>3</cp:revision>
</cp:coreProperties>
</file>