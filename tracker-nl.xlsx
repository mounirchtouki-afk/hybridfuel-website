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comments2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Weeklogboek" sheetId="1" state="visible" r:id="rId3"/>
    <sheet name="Gewichtstracker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15" authorId="0">
      <text>
        <r>
          <rPr>
            <sz val="10"/>
            <rFont val="Arial"/>
            <family val="2"/>
          </rPr>
          <t xml:space="preserve">Voorbeeldwaarden — je app vult deze vanuit je plan.</t>
        </r>
      </text>
    </comment>
  </commentList>
</comments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6" authorId="0">
      <text>
        <r>
          <rPr>
            <sz val="10"/>
            <rFont val="Arial"/>
            <family val="2"/>
          </rPr>
          <t xml:space="preserve">Opties (typ exact): Afvallen / Onderhoud / Opbouwen. Uit je HybridFuelCo-plan.</t>
        </r>
      </text>
    </comment>
  </commentList>
</comments>
</file>

<file path=xl/sharedStrings.xml><?xml version="1.0" encoding="utf-8"?>
<sst xmlns="http://schemas.openxmlformats.org/spreadsheetml/2006/main" count="60" uniqueCount="56">
  <si>
    <t xml:space="preserve">HYBRIDFUELCO — Weeklogboek</t>
  </si>
  <si>
    <t xml:space="preserve">Log dagelijks. Weeg 's ochtends als eerste, onder dezelfde omstandigheden. Kijk naar het weekgemiddelde — nooit naar één dag.</t>
  </si>
  <si>
    <t xml:space="preserve">Dag</t>
  </si>
  <si>
    <t xml:space="preserve">Gewicht (kg)</t>
  </si>
  <si>
    <t xml:space="preserve">Calorieën</t>
  </si>
  <si>
    <t xml:space="preserve">Eiwit (g)</t>
  </si>
  <si>
    <t xml:space="preserve">Water (L)</t>
  </si>
  <si>
    <t xml:space="preserve">Getraind?</t>
  </si>
  <si>
    <t xml:space="preserve">Notities</t>
  </si>
  <si>
    <t xml:space="preserve">Ma</t>
  </si>
  <si>
    <t xml:space="preserve">Di</t>
  </si>
  <si>
    <t xml:space="preserve">Wo</t>
  </si>
  <si>
    <t xml:space="preserve">Do</t>
  </si>
  <si>
    <t xml:space="preserve">Vr</t>
  </si>
  <si>
    <t xml:space="preserve">Za</t>
  </si>
  <si>
    <t xml:space="preserve">Zo</t>
  </si>
  <si>
    <t xml:space="preserve">Weekgem.</t>
  </si>
  <si>
    <t xml:space="preserve">dagen getraind</t>
  </si>
  <si>
    <t xml:space="preserve">Jouw targets</t>
  </si>
  <si>
    <t xml:space="preserve">← uit je HybridFuelCo-plan</t>
  </si>
  <si>
    <t xml:space="preserve">Gebruik: vul elke dag de lichtrode cellen in. Het weekgemiddelde rekent zichzelf uit. Je targets komen uit je HybridFuelCo-plan. Rode signalen op het tabblad Gewichtstracker waarschuwen als je tempo onverantwoord wordt.</t>
  </si>
  <si>
    <t xml:space="preserve">Tip: weeg één week, vertrouw daarna je oog. Consistentie over de week wint van elke losse dag.</t>
  </si>
  <si>
    <t xml:space="preserve">HYBRIDFUELCO — Gewichtstracker</t>
  </si>
  <si>
    <t xml:space="preserve">Weeg 's ochtends als eerste, onder dezelfde omstandigheden. 3 punten per week, beoordeel dan het weekgemiddelde — nooit één dag.</t>
  </si>
  <si>
    <t xml:space="preserve">Doel</t>
  </si>
  <si>
    <t xml:space="preserve">Afvallen</t>
  </si>
  <si>
    <t xml:space="preserve">Typ exact: Afvallen / Onderhoud / Opbouwen. Dit stuurt de Tempocheck. Weeg in kilogram (kg).</t>
  </si>
  <si>
    <t xml:space="preserve">Week</t>
  </si>
  <si>
    <t xml:space="preserve">Δ t.o.v. vorige</t>
  </si>
  <si>
    <t xml:space="preserve">Trend</t>
  </si>
  <si>
    <t xml:space="preserve">Tempocheck</t>
  </si>
  <si>
    <t xml:space="preserve">Week 1</t>
  </si>
  <si>
    <t xml:space="preserve">—</t>
  </si>
  <si>
    <t xml:space="preserve">Week 2</t>
  </si>
  <si>
    <t xml:space="preserve">Week 3</t>
  </si>
  <si>
    <t xml:space="preserve">Week 4</t>
  </si>
  <si>
    <t xml:space="preserve">Week 5</t>
  </si>
  <si>
    <t xml:space="preserve">Week 6</t>
  </si>
  <si>
    <t xml:space="preserve">Week 7</t>
  </si>
  <si>
    <t xml:space="preserve">Week 8</t>
  </si>
  <si>
    <t xml:space="preserve">Week 9</t>
  </si>
  <si>
    <t xml:space="preserve">Week 10</t>
  </si>
  <si>
    <t xml:space="preserve">Week 11</t>
  </si>
  <si>
    <t xml:space="preserve">Week 12</t>
  </si>
  <si>
    <t xml:space="preserve">SAMENVATTING</t>
  </si>
  <si>
    <t xml:space="preserve">Gem. verandering / week</t>
  </si>
  <si>
    <t xml:space="preserve">Gezond afvallen is ~0,25–0,5 kg/week. Sneller is niet beter — het kost spier en herstel.</t>
  </si>
  <si>
    <t xml:space="preserve">Totale verandering tot nu</t>
  </si>
  <si>
    <t xml:space="preserve">Weken te snel</t>
  </si>
  <si>
    <t xml:space="preserve">Blijft dit oplopen, dan ga je te hard voor je doel — rustiger aan en lees de richtlijn hieronder.</t>
  </si>
  <si>
    <t xml:space="preserve">VERANTWOORD TEMPO — lees dit</t>
  </si>
  <si>
    <t xml:space="preserve">•  Afvallen:  mik op 0,5–1% van je lichaamsgewicht per week. Sneller dan ~1%/week betekent meestal dat je spier en herstel verliest, niet alleen vet. Eet iets meer en bouw het rustiger af.</t>
  </si>
  <si>
    <t xml:space="preserve">•  Onderhoud:  blijf binnen ±0,5%/week beide kanten op. Grotere schommelingen betekenen dat je niet echt onderhoudt — stuur je eten licht bij.</t>
  </si>
  <si>
    <t xml:space="preserve">•  Opbouwen (kracht):  mik op 0,25–0,5%/week. Sneller aankomen is vooral vet, geen kracht. Houd het langzaam en laat de training het werk doen.</t>
  </si>
  <si>
    <t xml:space="preserve">•  Markeert de Tempocheck "te snel" voor meer dan een week of twee, vraag je dan af waarom: te groot tekort/overschot, een crashweek of ziekte? Pas eerst je eten aan. Houdt snelle of onverklaarbare verandering aan, overleg dan met een arts of diëtist.</t>
  </si>
  <si>
    <t xml:space="preserve">Algemene schattingen, geen medisch advies. Snelle of onverklaarbare gewichtsverandering is reden voor overleg met een professional.</t>
  </si>
</sst>
</file>

<file path=xl/styles.xml><?xml version="1.0" encoding="utf-8"?>
<styleSheet xmlns="http://schemas.openxmlformats.org/spreadsheetml/2006/main">
  <numFmts count="1">
    <numFmt numFmtId="164" formatCode="General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FFFF"/>
      <name val="Arial"/>
      <family val="0"/>
      <charset val="1"/>
    </font>
    <font>
      <i val="true"/>
      <sz val="9"/>
      <color rgb="FFBDBDBD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0A0A0A"/>
      <name val="Arial"/>
      <family val="0"/>
      <charset val="1"/>
    </font>
    <font>
      <sz val="11"/>
      <color rgb="FF0A0A0A"/>
      <name val="Arial"/>
      <family val="0"/>
      <charset val="1"/>
    </font>
    <font>
      <b val="true"/>
      <sz val="11"/>
      <color rgb="FF0A0A0A"/>
      <name val="Arial"/>
      <family val="0"/>
      <charset val="1"/>
    </font>
    <font>
      <i val="true"/>
      <sz val="8.5"/>
      <color rgb="FF8C8C8C"/>
      <name val="Arial"/>
      <family val="0"/>
      <charset val="1"/>
    </font>
    <font>
      <sz val="9"/>
      <color rgb="FF0A0A0A"/>
      <name val="Arial"/>
      <family val="0"/>
      <charset val="1"/>
    </font>
    <font>
      <sz val="10"/>
      <name val="Arial"/>
      <family val="2"/>
    </font>
    <font>
      <b val="true"/>
      <sz val="10"/>
      <color rgb="FFE8321E"/>
      <name val="Arial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0A0A0A"/>
        <bgColor rgb="FF000000"/>
      </patternFill>
    </fill>
    <fill>
      <patternFill patternType="solid">
        <fgColor rgb="FFE8321E"/>
        <bgColor rgb="FFFF6600"/>
      </patternFill>
    </fill>
    <fill>
      <patternFill patternType="solid">
        <fgColor rgb="FF1A1A1A"/>
        <bgColor rgb="FF0A0A0A"/>
      </patternFill>
    </fill>
    <fill>
      <patternFill patternType="solid">
        <fgColor rgb="FFFCEBE9"/>
        <bgColor rgb="FFFDE2DF"/>
      </patternFill>
    </fill>
    <fill>
      <patternFill patternType="solid">
        <fgColor rgb="FFF7F7F7"/>
        <bgColor rgb="FFFFFFFF"/>
      </patternFill>
    </fill>
    <fill>
      <patternFill patternType="solid">
        <fgColor rgb="FFFDE2DF"/>
        <bgColor rgb="FFFCEBE9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E2E2E2"/>
      </left>
      <right style="thin">
        <color rgb="FFE2E2E2"/>
      </right>
      <top style="thin">
        <color rgb="FFE2E2E2"/>
      </top>
      <bottom style="thin">
        <color rgb="FFE2E2E2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5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6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0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0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4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3" fillId="7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ont>
        <name val="Arial"/>
        <charset val="1"/>
        <family val="0"/>
        <b val="1"/>
        <color rgb="FFE8321E"/>
        <sz val="11"/>
      </font>
      <fill>
        <patternFill>
          <bgColor rgb="FFFDE2DF"/>
        </patternFill>
      </fill>
    </dxf>
  </dxfs>
  <colors>
    <indexedColors>
      <rgbColor rgb="FF000000"/>
      <rgbColor rgb="FFFFFFFF"/>
      <rgbColor rgb="FFE8321E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DBDBD"/>
      <rgbColor rgb="FF808080"/>
      <rgbColor rgb="FF9999FF"/>
      <rgbColor rgb="FF993366"/>
      <rgbColor rgb="FFF7F7F7"/>
      <rgbColor rgb="FFCCFFFF"/>
      <rgbColor rgb="FF660066"/>
      <rgbColor rgb="FFFF8080"/>
      <rgbColor rgb="FF0066CC"/>
      <rgbColor rgb="FFE2E2E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CEBE9"/>
      <rgbColor rgb="FF99CCFF"/>
      <rgbColor rgb="FFFF99CC"/>
      <rgbColor rgb="FFCC99FF"/>
      <rgbColor rgb="FFFDE2DF"/>
      <rgbColor rgb="FF3366FF"/>
      <rgbColor rgb="FF33CCCC"/>
      <rgbColor rgb="FF99CC00"/>
      <rgbColor rgb="FFFFCC00"/>
      <rgbColor rgb="FFFF9900"/>
      <rgbColor rgb="FFFF6600"/>
      <rgbColor rgb="FF666699"/>
      <rgbColor rgb="FF8C8C8C"/>
      <rgbColor rgb="FF003366"/>
      <rgbColor rgb="FF339966"/>
      <rgbColor rgb="FF0A0A0A"/>
      <rgbColor rgb="FF333300"/>
      <rgbColor rgb="FF993300"/>
      <rgbColor rgb="FF993366"/>
      <rgbColor rgb="FF333399"/>
      <rgbColor rgb="FF1A1A1A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2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H18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.5"/>
    <col collapsed="false" customWidth="true" hidden="false" outlineLevel="0" max="2" min="2" style="0" width="12"/>
    <col collapsed="false" customWidth="true" hidden="false" outlineLevel="0" max="3" min="3" style="0" width="13"/>
    <col collapsed="false" customWidth="true" hidden="false" outlineLevel="0" max="4" min="4" style="0" width="11"/>
    <col collapsed="false" customWidth="true" hidden="false" outlineLevel="0" max="5" min="5" style="0" width="12"/>
    <col collapsed="false" customWidth="true" hidden="false" outlineLevel="0" max="7" min="6" style="0" width="11"/>
    <col collapsed="false" customWidth="true" hidden="false" outlineLevel="0" max="8" min="8" style="0" width="34"/>
  </cols>
  <sheetData>
    <row r="2" customFormat="false" ht="30" hidden="false" customHeight="true" outlineLevel="0" collapsed="false">
      <c r="B2" s="1" t="s">
        <v>0</v>
      </c>
      <c r="C2" s="1"/>
      <c r="D2" s="1"/>
      <c r="E2" s="1"/>
      <c r="F2" s="1"/>
      <c r="G2" s="1"/>
      <c r="H2" s="1"/>
    </row>
    <row r="3" customFormat="false" ht="15.75" hidden="false" customHeight="true" outlineLevel="0" collapsed="false">
      <c r="B3" s="2" t="s">
        <v>1</v>
      </c>
      <c r="C3" s="2"/>
      <c r="D3" s="2"/>
      <c r="E3" s="2"/>
      <c r="F3" s="2"/>
      <c r="G3" s="2"/>
      <c r="H3" s="2"/>
    </row>
    <row r="4" customFormat="false" ht="3.75" hidden="false" customHeight="true" outlineLevel="0" collapsed="false">
      <c r="B4" s="3"/>
      <c r="C4" s="3"/>
      <c r="D4" s="3"/>
      <c r="E4" s="3"/>
      <c r="F4" s="3"/>
      <c r="G4" s="3"/>
      <c r="H4" s="3"/>
    </row>
    <row r="6" customFormat="false" ht="21.75" hidden="false" customHeight="true" outlineLevel="0" collapsed="false">
      <c r="B6" s="4" t="s">
        <v>2</v>
      </c>
      <c r="C6" s="5" t="s">
        <v>3</v>
      </c>
      <c r="D6" s="5" t="s">
        <v>4</v>
      </c>
      <c r="E6" s="5" t="s">
        <v>5</v>
      </c>
      <c r="F6" s="5" t="s">
        <v>6</v>
      </c>
      <c r="G6" s="5" t="s">
        <v>7</v>
      </c>
      <c r="H6" s="5" t="s">
        <v>8</v>
      </c>
    </row>
    <row r="7" customFormat="false" ht="15" hidden="false" customHeight="false" outlineLevel="0" collapsed="false">
      <c r="B7" s="6" t="s">
        <v>9</v>
      </c>
      <c r="C7" s="7"/>
      <c r="D7" s="7"/>
      <c r="E7" s="7"/>
      <c r="F7" s="7"/>
      <c r="G7" s="7"/>
      <c r="H7" s="8"/>
    </row>
    <row r="8" customFormat="false" ht="15" hidden="false" customHeight="false" outlineLevel="0" collapsed="false">
      <c r="B8" s="6" t="s">
        <v>10</v>
      </c>
      <c r="C8" s="7"/>
      <c r="D8" s="7"/>
      <c r="E8" s="7"/>
      <c r="F8" s="7"/>
      <c r="G8" s="7"/>
      <c r="H8" s="8"/>
    </row>
    <row r="9" customFormat="false" ht="15" hidden="false" customHeight="false" outlineLevel="0" collapsed="false">
      <c r="B9" s="6" t="s">
        <v>11</v>
      </c>
      <c r="C9" s="7"/>
      <c r="D9" s="7"/>
      <c r="E9" s="7"/>
      <c r="F9" s="7"/>
      <c r="G9" s="7"/>
      <c r="H9" s="8"/>
    </row>
    <row r="10" customFormat="false" ht="15" hidden="false" customHeight="false" outlineLevel="0" collapsed="false">
      <c r="B10" s="6" t="s">
        <v>12</v>
      </c>
      <c r="C10" s="7"/>
      <c r="D10" s="7"/>
      <c r="E10" s="7"/>
      <c r="F10" s="7"/>
      <c r="G10" s="7"/>
      <c r="H10" s="8"/>
    </row>
    <row r="11" customFormat="false" ht="15" hidden="false" customHeight="false" outlineLevel="0" collapsed="false">
      <c r="B11" s="6" t="s">
        <v>13</v>
      </c>
      <c r="C11" s="7"/>
      <c r="D11" s="7"/>
      <c r="E11" s="7"/>
      <c r="F11" s="7"/>
      <c r="G11" s="7"/>
      <c r="H11" s="8"/>
    </row>
    <row r="12" customFormat="false" ht="15" hidden="false" customHeight="false" outlineLevel="0" collapsed="false">
      <c r="B12" s="6" t="s">
        <v>14</v>
      </c>
      <c r="C12" s="7"/>
      <c r="D12" s="7"/>
      <c r="E12" s="7"/>
      <c r="F12" s="7"/>
      <c r="G12" s="7"/>
      <c r="H12" s="8"/>
    </row>
    <row r="13" customFormat="false" ht="15" hidden="false" customHeight="false" outlineLevel="0" collapsed="false">
      <c r="B13" s="6" t="s">
        <v>15</v>
      </c>
      <c r="C13" s="7"/>
      <c r="D13" s="7"/>
      <c r="E13" s="7"/>
      <c r="F13" s="7"/>
      <c r="G13" s="7"/>
      <c r="H13" s="8"/>
    </row>
    <row r="14" customFormat="false" ht="15" hidden="false" customHeight="false" outlineLevel="0" collapsed="false">
      <c r="B14" s="9" t="s">
        <v>16</v>
      </c>
      <c r="C14" s="10" t="str">
        <f aca="false">IFERROR(ROUND(AVERAGE(C7:C13),1),"")</f>
        <v/>
      </c>
      <c r="D14" s="10" t="str">
        <f aca="false">IFERROR(ROUND(AVERAGE(D7:D13),1),"")</f>
        <v/>
      </c>
      <c r="E14" s="10" t="str">
        <f aca="false">IFERROR(ROUND(AVERAGE(E7:E13),1),"")</f>
        <v/>
      </c>
      <c r="F14" s="10" t="str">
        <f aca="false">IFERROR(ROUND(AVERAGE(F7:F13),1),"")</f>
        <v/>
      </c>
      <c r="G14" s="10" t="n">
        <f aca="false">COUNTIF(G7:G13,"J")</f>
        <v>0</v>
      </c>
      <c r="H14" s="11" t="s">
        <v>17</v>
      </c>
    </row>
    <row r="15" customFormat="false" ht="15" hidden="false" customHeight="false" outlineLevel="0" collapsed="false">
      <c r="B15" s="12" t="s">
        <v>18</v>
      </c>
      <c r="C15" s="7" t="n">
        <v>86</v>
      </c>
      <c r="D15" s="7" t="n">
        <v>2430</v>
      </c>
      <c r="E15" s="7" t="n">
        <v>174</v>
      </c>
      <c r="F15" s="7" t="n">
        <v>3.5</v>
      </c>
      <c r="G15" s="13"/>
      <c r="H15" s="14" t="s">
        <v>19</v>
      </c>
    </row>
    <row r="17" customFormat="false" ht="30" hidden="false" customHeight="true" outlineLevel="0" collapsed="false">
      <c r="B17" s="15" t="s">
        <v>20</v>
      </c>
      <c r="C17" s="15"/>
      <c r="D17" s="15"/>
      <c r="E17" s="15"/>
      <c r="F17" s="15"/>
      <c r="G17" s="15"/>
      <c r="H17" s="15"/>
    </row>
    <row r="18" customFormat="false" ht="15" hidden="false" customHeight="false" outlineLevel="0" collapsed="false">
      <c r="B18" s="16" t="s">
        <v>21</v>
      </c>
      <c r="C18" s="16"/>
      <c r="D18" s="16"/>
      <c r="E18" s="16"/>
      <c r="F18" s="16"/>
      <c r="G18" s="16"/>
      <c r="H18" s="16"/>
    </row>
  </sheetData>
  <mergeCells count="4">
    <mergeCell ref="B2:H2"/>
    <mergeCell ref="B3:H3"/>
    <mergeCell ref="B17:H17"/>
    <mergeCell ref="B18:H18"/>
  </mergeCells>
  <printOptions headings="false" gridLines="false" gridLinesSet="true" horizontalCentered="false" verticalCentered="false"/>
  <pageMargins left="0.3" right="0.3" top="0.4" bottom="0.4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I3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.5"/>
    <col collapsed="false" customWidth="true" hidden="false" outlineLevel="0" max="2" min="2" style="0" width="11"/>
    <col collapsed="false" customWidth="true" hidden="false" outlineLevel="0" max="5" min="3" style="0" width="10"/>
    <col collapsed="false" customWidth="true" hidden="false" outlineLevel="0" max="6" min="6" style="0" width="12"/>
    <col collapsed="false" customWidth="true" hidden="false" outlineLevel="0" max="7" min="7" style="0" width="13"/>
    <col collapsed="false" customWidth="true" hidden="false" outlineLevel="0" max="8" min="8" style="0" width="9"/>
    <col collapsed="false" customWidth="true" hidden="false" outlineLevel="0" max="9" min="9" style="0" width="20"/>
  </cols>
  <sheetData>
    <row r="2" customFormat="false" ht="30" hidden="false" customHeight="true" outlineLevel="0" collapsed="false">
      <c r="B2" s="1" t="s">
        <v>22</v>
      </c>
      <c r="C2" s="1"/>
      <c r="D2" s="1"/>
      <c r="E2" s="1"/>
      <c r="F2" s="1"/>
      <c r="G2" s="1"/>
      <c r="H2" s="1"/>
      <c r="I2" s="1"/>
    </row>
    <row r="3" customFormat="false" ht="15.75" hidden="false" customHeight="true" outlineLevel="0" collapsed="false">
      <c r="B3" s="2" t="s">
        <v>23</v>
      </c>
      <c r="C3" s="2"/>
      <c r="D3" s="2"/>
      <c r="E3" s="2"/>
      <c r="F3" s="2"/>
      <c r="G3" s="2"/>
      <c r="H3" s="2"/>
      <c r="I3" s="2"/>
    </row>
    <row r="4" customFormat="false" ht="3.75" hidden="false" customHeight="true" outlineLevel="0" collapsed="false">
      <c r="B4" s="3"/>
      <c r="C4" s="3"/>
      <c r="D4" s="3"/>
      <c r="E4" s="3"/>
      <c r="F4" s="3"/>
      <c r="G4" s="3"/>
      <c r="H4" s="3"/>
      <c r="I4" s="3"/>
    </row>
    <row r="6" customFormat="false" ht="15" hidden="false" customHeight="false" outlineLevel="0" collapsed="false">
      <c r="B6" s="12" t="s">
        <v>24</v>
      </c>
      <c r="C6" s="8" t="s">
        <v>25</v>
      </c>
      <c r="D6" s="8"/>
      <c r="E6" s="16" t="s">
        <v>26</v>
      </c>
      <c r="F6" s="16"/>
      <c r="G6" s="16"/>
      <c r="H6" s="16"/>
      <c r="I6" s="16"/>
    </row>
    <row r="8" customFormat="false" ht="21.75" hidden="false" customHeight="true" outlineLevel="0" collapsed="false">
      <c r="B8" s="4" t="s">
        <v>27</v>
      </c>
      <c r="C8" s="5" t="s">
        <v>9</v>
      </c>
      <c r="D8" s="5" t="s">
        <v>11</v>
      </c>
      <c r="E8" s="5" t="s">
        <v>13</v>
      </c>
      <c r="F8" s="5" t="s">
        <v>16</v>
      </c>
      <c r="G8" s="5" t="s">
        <v>28</v>
      </c>
      <c r="H8" s="5" t="s">
        <v>29</v>
      </c>
      <c r="I8" s="5" t="s">
        <v>30</v>
      </c>
    </row>
    <row r="9" customFormat="false" ht="15" hidden="false" customHeight="false" outlineLevel="0" collapsed="false">
      <c r="B9" s="6" t="s">
        <v>31</v>
      </c>
      <c r="C9" s="7"/>
      <c r="D9" s="7"/>
      <c r="E9" s="7"/>
      <c r="F9" s="10" t="str">
        <f aca="false">IFERROR(ROUND(AVERAGE(C9:E9),1),"")</f>
        <v/>
      </c>
      <c r="G9" s="17" t="s">
        <v>32</v>
      </c>
      <c r="H9" s="18" t="str">
        <f aca="false">IF(OR(G9="",G9="—"),"",IF(G9&lt;-0.05,"▼",IF(G9&gt;0.05,"▲","→")))</f>
        <v/>
      </c>
      <c r="I9" s="17" t="str">
        <f aca="false">IF(OR(G9="",G9="—",F9="",F9=0),"",IF($C$6="Afvallen",IF(G9&gt;0,"⚠ omhoog",IF(G9/F9&lt;-0.01,"⚠ te snel","op koers")),IF($C$6="Onderhoud",IF(ABS(G9/F9)&gt;0.005,"⚠ drift","stabiel"),IF($C$6="Opbouwen",IF(G9&lt;0,"⚠ verlies",IF(G9/F9&gt;0.005,"⚠ te snel","op koers")),""))))</f>
        <v/>
      </c>
    </row>
    <row r="10" customFormat="false" ht="15" hidden="false" customHeight="false" outlineLevel="0" collapsed="false">
      <c r="B10" s="6" t="s">
        <v>33</v>
      </c>
      <c r="C10" s="7"/>
      <c r="D10" s="7"/>
      <c r="E10" s="7"/>
      <c r="F10" s="10" t="str">
        <f aca="false">IFERROR(ROUND(AVERAGE(C10:E10),1),"")</f>
        <v/>
      </c>
      <c r="G10" s="17" t="str">
        <f aca="false">IF(OR(F10="",F9=""),"",ROUND(F10-F9,1))</f>
        <v/>
      </c>
      <c r="H10" s="18" t="str">
        <f aca="false">IF(OR(G10="",G10="—"),"",IF(G10&lt;-0.05,"▼",IF(G10&gt;0.05,"▲","→")))</f>
        <v/>
      </c>
      <c r="I10" s="17" t="str">
        <f aca="false">IF(OR(G10="",G10="—",F10="",F10=0),"",IF($C$6="Afvallen",IF(G10&gt;0,"⚠ omhoog",IF(G10/F10&lt;-0.01,"⚠ te snel","op koers")),IF($C$6="Onderhoud",IF(ABS(G10/F10)&gt;0.005,"⚠ drift","stabiel"),IF($C$6="Opbouwen",IF(G10&lt;0,"⚠ verlies",IF(G10/F10&gt;0.005,"⚠ te snel","op koers")),""))))</f>
        <v/>
      </c>
    </row>
    <row r="11" customFormat="false" ht="15" hidden="false" customHeight="false" outlineLevel="0" collapsed="false">
      <c r="B11" s="6" t="s">
        <v>34</v>
      </c>
      <c r="C11" s="7"/>
      <c r="D11" s="7"/>
      <c r="E11" s="7"/>
      <c r="F11" s="10" t="str">
        <f aca="false">IFERROR(ROUND(AVERAGE(C11:E11),1),"")</f>
        <v/>
      </c>
      <c r="G11" s="17" t="str">
        <f aca="false">IF(OR(F11="",F10=""),"",ROUND(F11-F10,1))</f>
        <v/>
      </c>
      <c r="H11" s="18" t="str">
        <f aca="false">IF(OR(G11="",G11="—"),"",IF(G11&lt;-0.05,"▼",IF(G11&gt;0.05,"▲","→")))</f>
        <v/>
      </c>
      <c r="I11" s="17" t="str">
        <f aca="false">IF(OR(G11="",G11="—",F11="",F11=0),"",IF($C$6="Afvallen",IF(G11&gt;0,"⚠ omhoog",IF(G11/F11&lt;-0.01,"⚠ te snel","op koers")),IF($C$6="Onderhoud",IF(ABS(G11/F11)&gt;0.005,"⚠ drift","stabiel"),IF($C$6="Opbouwen",IF(G11&lt;0,"⚠ verlies",IF(G11/F11&gt;0.005,"⚠ te snel","op koers")),""))))</f>
        <v/>
      </c>
    </row>
    <row r="12" customFormat="false" ht="15" hidden="false" customHeight="false" outlineLevel="0" collapsed="false">
      <c r="B12" s="6" t="s">
        <v>35</v>
      </c>
      <c r="C12" s="7"/>
      <c r="D12" s="7"/>
      <c r="E12" s="7"/>
      <c r="F12" s="10" t="str">
        <f aca="false">IFERROR(ROUND(AVERAGE(C12:E12),1),"")</f>
        <v/>
      </c>
      <c r="G12" s="17" t="str">
        <f aca="false">IF(OR(F12="",F11=""),"",ROUND(F12-F11,1))</f>
        <v/>
      </c>
      <c r="H12" s="18" t="str">
        <f aca="false">IF(OR(G12="",G12="—"),"",IF(G12&lt;-0.05,"▼",IF(G12&gt;0.05,"▲","→")))</f>
        <v/>
      </c>
      <c r="I12" s="17" t="str">
        <f aca="false">IF(OR(G12="",G12="—",F12="",F12=0),"",IF($C$6="Afvallen",IF(G12&gt;0,"⚠ omhoog",IF(G12/F12&lt;-0.01,"⚠ te snel","op koers")),IF($C$6="Onderhoud",IF(ABS(G12/F12)&gt;0.005,"⚠ drift","stabiel"),IF($C$6="Opbouwen",IF(G12&lt;0,"⚠ verlies",IF(G12/F12&gt;0.005,"⚠ te snel","op koers")),""))))</f>
        <v/>
      </c>
    </row>
    <row r="13" customFormat="false" ht="15" hidden="false" customHeight="false" outlineLevel="0" collapsed="false">
      <c r="B13" s="6" t="s">
        <v>36</v>
      </c>
      <c r="C13" s="7"/>
      <c r="D13" s="7"/>
      <c r="E13" s="7"/>
      <c r="F13" s="10" t="str">
        <f aca="false">IFERROR(ROUND(AVERAGE(C13:E13),1),"")</f>
        <v/>
      </c>
      <c r="G13" s="17" t="str">
        <f aca="false">IF(OR(F13="",F12=""),"",ROUND(F13-F12,1))</f>
        <v/>
      </c>
      <c r="H13" s="18" t="str">
        <f aca="false">IF(OR(G13="",G13="—"),"",IF(G13&lt;-0.05,"▼",IF(G13&gt;0.05,"▲","→")))</f>
        <v/>
      </c>
      <c r="I13" s="17" t="str">
        <f aca="false">IF(OR(G13="",G13="—",F13="",F13=0),"",IF($C$6="Afvallen",IF(G13&gt;0,"⚠ omhoog",IF(G13/F13&lt;-0.01,"⚠ te snel","op koers")),IF($C$6="Onderhoud",IF(ABS(G13/F13)&gt;0.005,"⚠ drift","stabiel"),IF($C$6="Opbouwen",IF(G13&lt;0,"⚠ verlies",IF(G13/F13&gt;0.005,"⚠ te snel","op koers")),""))))</f>
        <v/>
      </c>
    </row>
    <row r="14" customFormat="false" ht="15" hidden="false" customHeight="false" outlineLevel="0" collapsed="false">
      <c r="B14" s="6" t="s">
        <v>37</v>
      </c>
      <c r="C14" s="7"/>
      <c r="D14" s="7"/>
      <c r="E14" s="7"/>
      <c r="F14" s="10" t="str">
        <f aca="false">IFERROR(ROUND(AVERAGE(C14:E14),1),"")</f>
        <v/>
      </c>
      <c r="G14" s="17" t="str">
        <f aca="false">IF(OR(F14="",F13=""),"",ROUND(F14-F13,1))</f>
        <v/>
      </c>
      <c r="H14" s="18" t="str">
        <f aca="false">IF(OR(G14="",G14="—"),"",IF(G14&lt;-0.05,"▼",IF(G14&gt;0.05,"▲","→")))</f>
        <v/>
      </c>
      <c r="I14" s="17" t="str">
        <f aca="false">IF(OR(G14="",G14="—",F14="",F14=0),"",IF($C$6="Afvallen",IF(G14&gt;0,"⚠ omhoog",IF(G14/F14&lt;-0.01,"⚠ te snel","op koers")),IF($C$6="Onderhoud",IF(ABS(G14/F14)&gt;0.005,"⚠ drift","stabiel"),IF($C$6="Opbouwen",IF(G14&lt;0,"⚠ verlies",IF(G14/F14&gt;0.005,"⚠ te snel","op koers")),""))))</f>
        <v/>
      </c>
    </row>
    <row r="15" customFormat="false" ht="15" hidden="false" customHeight="false" outlineLevel="0" collapsed="false">
      <c r="B15" s="6" t="s">
        <v>38</v>
      </c>
      <c r="C15" s="7"/>
      <c r="D15" s="7"/>
      <c r="E15" s="7"/>
      <c r="F15" s="10" t="str">
        <f aca="false">IFERROR(ROUND(AVERAGE(C15:E15),1),"")</f>
        <v/>
      </c>
      <c r="G15" s="17" t="str">
        <f aca="false">IF(OR(F15="",F14=""),"",ROUND(F15-F14,1))</f>
        <v/>
      </c>
      <c r="H15" s="18" t="str">
        <f aca="false">IF(OR(G15="",G15="—"),"",IF(G15&lt;-0.05,"▼",IF(G15&gt;0.05,"▲","→")))</f>
        <v/>
      </c>
      <c r="I15" s="17" t="str">
        <f aca="false">IF(OR(G15="",G15="—",F15="",F15=0),"",IF($C$6="Afvallen",IF(G15&gt;0,"⚠ omhoog",IF(G15/F15&lt;-0.01,"⚠ te snel","op koers")),IF($C$6="Onderhoud",IF(ABS(G15/F15)&gt;0.005,"⚠ drift","stabiel"),IF($C$6="Opbouwen",IF(G15&lt;0,"⚠ verlies",IF(G15/F15&gt;0.005,"⚠ te snel","op koers")),""))))</f>
        <v/>
      </c>
    </row>
    <row r="16" customFormat="false" ht="15" hidden="false" customHeight="false" outlineLevel="0" collapsed="false">
      <c r="B16" s="6" t="s">
        <v>39</v>
      </c>
      <c r="C16" s="7"/>
      <c r="D16" s="7"/>
      <c r="E16" s="7"/>
      <c r="F16" s="10" t="str">
        <f aca="false">IFERROR(ROUND(AVERAGE(C16:E16),1),"")</f>
        <v/>
      </c>
      <c r="G16" s="17" t="str">
        <f aca="false">IF(OR(F16="",F15=""),"",ROUND(F16-F15,1))</f>
        <v/>
      </c>
      <c r="H16" s="18" t="str">
        <f aca="false">IF(OR(G16="",G16="—"),"",IF(G16&lt;-0.05,"▼",IF(G16&gt;0.05,"▲","→")))</f>
        <v/>
      </c>
      <c r="I16" s="17" t="str">
        <f aca="false">IF(OR(G16="",G16="—",F16="",F16=0),"",IF($C$6="Afvallen",IF(G16&gt;0,"⚠ omhoog",IF(G16/F16&lt;-0.01,"⚠ te snel","op koers")),IF($C$6="Onderhoud",IF(ABS(G16/F16)&gt;0.005,"⚠ drift","stabiel"),IF($C$6="Opbouwen",IF(G16&lt;0,"⚠ verlies",IF(G16/F16&gt;0.005,"⚠ te snel","op koers")),""))))</f>
        <v/>
      </c>
    </row>
    <row r="17" customFormat="false" ht="15" hidden="false" customHeight="false" outlineLevel="0" collapsed="false">
      <c r="B17" s="6" t="s">
        <v>40</v>
      </c>
      <c r="C17" s="7"/>
      <c r="D17" s="7"/>
      <c r="E17" s="7"/>
      <c r="F17" s="10" t="str">
        <f aca="false">IFERROR(ROUND(AVERAGE(C17:E17),1),"")</f>
        <v/>
      </c>
      <c r="G17" s="17" t="str">
        <f aca="false">IF(OR(F17="",F16=""),"",ROUND(F17-F16,1))</f>
        <v/>
      </c>
      <c r="H17" s="18" t="str">
        <f aca="false">IF(OR(G17="",G17="—"),"",IF(G17&lt;-0.05,"▼",IF(G17&gt;0.05,"▲","→")))</f>
        <v/>
      </c>
      <c r="I17" s="17" t="str">
        <f aca="false">IF(OR(G17="",G17="—",F17="",F17=0),"",IF($C$6="Afvallen",IF(G17&gt;0,"⚠ omhoog",IF(G17/F17&lt;-0.01,"⚠ te snel","op koers")),IF($C$6="Onderhoud",IF(ABS(G17/F17)&gt;0.005,"⚠ drift","stabiel"),IF($C$6="Opbouwen",IF(G17&lt;0,"⚠ verlies",IF(G17/F17&gt;0.005,"⚠ te snel","op koers")),""))))</f>
        <v/>
      </c>
    </row>
    <row r="18" customFormat="false" ht="15" hidden="false" customHeight="false" outlineLevel="0" collapsed="false">
      <c r="B18" s="6" t="s">
        <v>41</v>
      </c>
      <c r="C18" s="7"/>
      <c r="D18" s="7"/>
      <c r="E18" s="7"/>
      <c r="F18" s="10" t="str">
        <f aca="false">IFERROR(ROUND(AVERAGE(C18:E18),1),"")</f>
        <v/>
      </c>
      <c r="G18" s="17" t="str">
        <f aca="false">IF(OR(F18="",F17=""),"",ROUND(F18-F17,1))</f>
        <v/>
      </c>
      <c r="H18" s="18" t="str">
        <f aca="false">IF(OR(G18="",G18="—"),"",IF(G18&lt;-0.05,"▼",IF(G18&gt;0.05,"▲","→")))</f>
        <v/>
      </c>
      <c r="I18" s="17" t="str">
        <f aca="false">IF(OR(G18="",G18="—",F18="",F18=0),"",IF($C$6="Afvallen",IF(G18&gt;0,"⚠ omhoog",IF(G18/F18&lt;-0.01,"⚠ te snel","op koers")),IF($C$6="Onderhoud",IF(ABS(G18/F18)&gt;0.005,"⚠ drift","stabiel"),IF($C$6="Opbouwen",IF(G18&lt;0,"⚠ verlies",IF(G18/F18&gt;0.005,"⚠ te snel","op koers")),""))))</f>
        <v/>
      </c>
    </row>
    <row r="19" customFormat="false" ht="15" hidden="false" customHeight="false" outlineLevel="0" collapsed="false">
      <c r="B19" s="6" t="s">
        <v>42</v>
      </c>
      <c r="C19" s="7"/>
      <c r="D19" s="7"/>
      <c r="E19" s="7"/>
      <c r="F19" s="10" t="str">
        <f aca="false">IFERROR(ROUND(AVERAGE(C19:E19),1),"")</f>
        <v/>
      </c>
      <c r="G19" s="17" t="str">
        <f aca="false">IF(OR(F19="",F18=""),"",ROUND(F19-F18,1))</f>
        <v/>
      </c>
      <c r="H19" s="18" t="str">
        <f aca="false">IF(OR(G19="",G19="—"),"",IF(G19&lt;-0.05,"▼",IF(G19&gt;0.05,"▲","→")))</f>
        <v/>
      </c>
      <c r="I19" s="17" t="str">
        <f aca="false">IF(OR(G19="",G19="—",F19="",F19=0),"",IF($C$6="Afvallen",IF(G19&gt;0,"⚠ omhoog",IF(G19/F19&lt;-0.01,"⚠ te snel","op koers")),IF($C$6="Onderhoud",IF(ABS(G19/F19)&gt;0.005,"⚠ drift","stabiel"),IF($C$6="Opbouwen",IF(G19&lt;0,"⚠ verlies",IF(G19/F19&gt;0.005,"⚠ te snel","op koers")),""))))</f>
        <v/>
      </c>
    </row>
    <row r="20" customFormat="false" ht="15" hidden="false" customHeight="false" outlineLevel="0" collapsed="false">
      <c r="B20" s="6" t="s">
        <v>43</v>
      </c>
      <c r="C20" s="7"/>
      <c r="D20" s="7"/>
      <c r="E20" s="7"/>
      <c r="F20" s="10" t="str">
        <f aca="false">IFERROR(ROUND(AVERAGE(C20:E20),1),"")</f>
        <v/>
      </c>
      <c r="G20" s="17" t="str">
        <f aca="false">IF(OR(F20="",F19=""),"",ROUND(F20-F19,1))</f>
        <v/>
      </c>
      <c r="H20" s="18" t="str">
        <f aca="false">IF(OR(G20="",G20="—"),"",IF(G20&lt;-0.05,"▼",IF(G20&gt;0.05,"▲","→")))</f>
        <v/>
      </c>
      <c r="I20" s="17" t="str">
        <f aca="false">IF(OR(G20="",G20="—",F20="",F20=0),"",IF($C$6="Afvallen",IF(G20&gt;0,"⚠ omhoog",IF(G20/F20&lt;-0.01,"⚠ te snel","op koers")),IF($C$6="Onderhoud",IF(ABS(G20/F20)&gt;0.005,"⚠ drift","stabiel"),IF($C$6="Opbouwen",IF(G20&lt;0,"⚠ verlies",IF(G20/F20&gt;0.005,"⚠ te snel","op koers")),""))))</f>
        <v/>
      </c>
    </row>
    <row r="22" customFormat="false" ht="19.5" hidden="false" customHeight="true" outlineLevel="0" collapsed="false">
      <c r="B22" s="19" t="s">
        <v>44</v>
      </c>
      <c r="C22" s="19"/>
      <c r="D22" s="19"/>
      <c r="E22" s="19"/>
      <c r="F22" s="19"/>
      <c r="G22" s="19"/>
      <c r="H22" s="19"/>
      <c r="I22" s="19"/>
    </row>
    <row r="23" customFormat="false" ht="15" hidden="false" customHeight="false" outlineLevel="0" collapsed="false">
      <c r="B23" s="20" t="s">
        <v>45</v>
      </c>
      <c r="C23" s="21" t="str">
        <f aca="false">IFERROR(ROUND(AVERAGE(G10:G20),2)&amp;" kg","—")</f>
        <v>—</v>
      </c>
      <c r="D23" s="21"/>
      <c r="E23" s="16" t="s">
        <v>46</v>
      </c>
      <c r="F23" s="16"/>
      <c r="G23" s="16"/>
      <c r="H23" s="16"/>
      <c r="I23" s="16"/>
    </row>
    <row r="24" customFormat="false" ht="15" hidden="false" customHeight="false" outlineLevel="0" collapsed="false">
      <c r="B24" s="20" t="s">
        <v>47</v>
      </c>
      <c r="C24" s="21" t="str">
        <f aca="false">IFERROR(ROUND(LOOKUP(9.99E+307,F9:F20)-F9,1)&amp;" kg","—")</f>
        <v>—</v>
      </c>
      <c r="D24" s="21"/>
    </row>
    <row r="25" customFormat="false" ht="15" hidden="false" customHeight="false" outlineLevel="0" collapsed="false">
      <c r="B25" s="20" t="s">
        <v>48</v>
      </c>
      <c r="C25" s="21" t="n">
        <f aca="false">COUNTIF(I9:I20,"⚠ te snel")</f>
        <v>0</v>
      </c>
      <c r="D25" s="21"/>
      <c r="E25" s="16" t="s">
        <v>49</v>
      </c>
      <c r="F25" s="16"/>
      <c r="G25" s="16"/>
      <c r="H25" s="16"/>
      <c r="I25" s="16"/>
    </row>
    <row r="27" customFormat="false" ht="15" hidden="false" customHeight="false" outlineLevel="0" collapsed="false">
      <c r="B27" s="22" t="s">
        <v>50</v>
      </c>
      <c r="C27" s="22"/>
      <c r="D27" s="22"/>
      <c r="E27" s="22"/>
      <c r="F27" s="22"/>
      <c r="G27" s="22"/>
      <c r="H27" s="22"/>
      <c r="I27" s="22"/>
    </row>
    <row r="28" customFormat="false" ht="30" hidden="false" customHeight="true" outlineLevel="0" collapsed="false">
      <c r="B28" s="15" t="s">
        <v>51</v>
      </c>
      <c r="C28" s="15"/>
      <c r="D28" s="15"/>
      <c r="E28" s="15"/>
      <c r="F28" s="15"/>
      <c r="G28" s="15"/>
      <c r="H28" s="15"/>
      <c r="I28" s="15"/>
    </row>
    <row r="29" customFormat="false" ht="30" hidden="false" customHeight="true" outlineLevel="0" collapsed="false">
      <c r="B29" s="15" t="s">
        <v>52</v>
      </c>
      <c r="C29" s="15"/>
      <c r="D29" s="15"/>
      <c r="E29" s="15"/>
      <c r="F29" s="15"/>
      <c r="G29" s="15"/>
      <c r="H29" s="15"/>
      <c r="I29" s="15"/>
    </row>
    <row r="30" customFormat="false" ht="30" hidden="false" customHeight="true" outlineLevel="0" collapsed="false">
      <c r="B30" s="15" t="s">
        <v>53</v>
      </c>
      <c r="C30" s="15"/>
      <c r="D30" s="15"/>
      <c r="E30" s="15"/>
      <c r="F30" s="15"/>
      <c r="G30" s="15"/>
      <c r="H30" s="15"/>
      <c r="I30" s="15"/>
    </row>
    <row r="31" customFormat="false" ht="30" hidden="false" customHeight="true" outlineLevel="0" collapsed="false">
      <c r="B31" s="15" t="s">
        <v>54</v>
      </c>
      <c r="C31" s="15"/>
      <c r="D31" s="15"/>
      <c r="E31" s="15"/>
      <c r="F31" s="15"/>
      <c r="G31" s="15"/>
      <c r="H31" s="15"/>
      <c r="I31" s="15"/>
    </row>
    <row r="32" customFormat="false" ht="15" hidden="false" customHeight="false" outlineLevel="0" collapsed="false">
      <c r="B32" s="16" t="s">
        <v>55</v>
      </c>
      <c r="C32" s="16"/>
      <c r="D32" s="16"/>
      <c r="E32" s="16"/>
      <c r="F32" s="16"/>
      <c r="G32" s="16"/>
      <c r="H32" s="16"/>
      <c r="I32" s="16"/>
    </row>
  </sheetData>
  <mergeCells count="16">
    <mergeCell ref="B2:I2"/>
    <mergeCell ref="B3:I3"/>
    <mergeCell ref="C6:D6"/>
    <mergeCell ref="E6:I6"/>
    <mergeCell ref="B22:I22"/>
    <mergeCell ref="C23:D23"/>
    <mergeCell ref="E23:I23"/>
    <mergeCell ref="C24:D24"/>
    <mergeCell ref="C25:D25"/>
    <mergeCell ref="E25:I25"/>
    <mergeCell ref="B27:I27"/>
    <mergeCell ref="B28:I28"/>
    <mergeCell ref="B29:I29"/>
    <mergeCell ref="B30:I30"/>
    <mergeCell ref="B31:I31"/>
    <mergeCell ref="B32:I32"/>
  </mergeCells>
  <conditionalFormatting sqref="I9:I20">
    <cfRule type="expression" priority="2" aboveAverage="0" equalAverage="0" bottom="0" percent="0" rank="0" text="" dxfId="0">
      <formula>ISNUMBER(SEARCH("⚠",I9))</formula>
    </cfRule>
  </conditionalFormatting>
  <printOptions headings="false" gridLines="false" gridLinesSet="true" horizontalCentered="false" verticalCentered="false"/>
  <pageMargins left="0.3" right="0.3" top="0.4" bottom="0.4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2026-10-23T13:00:00Z</dcterms:created>
  <dc:creator>openpyxl</dc:creator>
  <dc:description/>
  <dc:language>en-US</dc:language>
  <cp:lastModifiedBy/>
  <dcterms:modified xsi:type="dcterms:W3CDTF">2026-10-23T13:00:00Z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