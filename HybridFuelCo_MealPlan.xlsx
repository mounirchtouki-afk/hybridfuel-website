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0e9fd63db271f8/HybrideFuelCo/App/hybridfuel-app-update/api/"/>
    </mc:Choice>
  </mc:AlternateContent>
  <xr:revisionPtr revIDLastSave="15" documentId="11_C6CF89BBB483929CEEB1B5B13ABBE9980274E995" xr6:coauthVersionLast="47" xr6:coauthVersionMax="47" xr10:uidLastSave="{46C2DC00-2529-444E-B281-730520A0A036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Meal plan" sheetId="2" r:id="rId2"/>
    <sheet name="Weight" sheetId="3" r:id="rId3"/>
    <sheet name="Shopping" sheetId="4" r:id="rId4"/>
    <sheet name="Recip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" i="3" l="1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N2" i="1" s="1"/>
  <c r="D5" i="1" s="1"/>
  <c r="C16" i="3"/>
  <c r="C15" i="3"/>
  <c r="C14" i="3"/>
  <c r="C13" i="3"/>
  <c r="C12" i="3"/>
  <c r="C11" i="3"/>
  <c r="C10" i="3"/>
  <c r="C9" i="3"/>
  <c r="C8" i="3"/>
  <c r="C7" i="3"/>
  <c r="C6" i="3"/>
  <c r="C5" i="3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20" i="1"/>
  <c r="E20" i="1"/>
  <c r="A20" i="1"/>
  <c r="J13" i="1"/>
  <c r="L12" i="1"/>
  <c r="I12" i="1"/>
  <c r="L11" i="1"/>
  <c r="I11" i="1"/>
  <c r="L10" i="1"/>
  <c r="I10" i="1"/>
  <c r="L9" i="1"/>
  <c r="I9" i="1"/>
  <c r="J5" i="1"/>
  <c r="N1" i="1"/>
  <c r="A5" i="1" l="1"/>
  <c r="N3" i="1"/>
  <c r="A16" i="1" l="1"/>
  <c r="G5" i="1"/>
</calcChain>
</file>

<file path=xl/sharedStrings.xml><?xml version="1.0" encoding="utf-8"?>
<sst xmlns="http://schemas.openxmlformats.org/spreadsheetml/2006/main" count="693" uniqueCount="239">
  <si>
    <t>H</t>
  </si>
  <si>
    <t>HYBRIDFUELCO</t>
  </si>
  <si>
    <t>PROGRESS TRACKER</t>
  </si>
  <si>
    <t>Current weight</t>
  </si>
  <si>
    <t>Last change</t>
  </si>
  <si>
    <t>Status</t>
  </si>
  <si>
    <t>Today</t>
  </si>
  <si>
    <t>Weight trend</t>
  </si>
  <si>
    <t>Today — meals</t>
  </si>
  <si>
    <t>Mon</t>
  </si>
  <si>
    <t>Breakfast</t>
  </si>
  <si>
    <t>Lunch</t>
  </si>
  <si>
    <t>Dinner</t>
  </si>
  <si>
    <t>Snack</t>
  </si>
  <si>
    <t>Day total</t>
  </si>
  <si>
    <t>Daily macros — selected day</t>
  </si>
  <si>
    <t>Protein</t>
  </si>
  <si>
    <t>Carbs</t>
  </si>
  <si>
    <t>Fat</t>
  </si>
  <si>
    <t>MEAL PLAN</t>
  </si>
  <si>
    <t>Replace this example week with your own plan from the app. The dashboard reads 'Today' from here.</t>
  </si>
  <si>
    <t>Day</t>
  </si>
  <si>
    <t>Type</t>
  </si>
  <si>
    <t>Dish</t>
  </si>
  <si>
    <t>Ingredients</t>
  </si>
  <si>
    <t>kcal</t>
  </si>
  <si>
    <t>Protein (g)</t>
  </si>
  <si>
    <t>Carbs (g)</t>
  </si>
  <si>
    <t>Fat (g)</t>
  </si>
  <si>
    <t>key</t>
  </si>
  <si>
    <t>Tue</t>
  </si>
  <si>
    <t>Wed</t>
  </si>
  <si>
    <t>Thu</t>
  </si>
  <si>
    <t>Fri</t>
  </si>
  <si>
    <t>Sat</t>
  </si>
  <si>
    <t>Sun</t>
  </si>
  <si>
    <t>WEIGHT &amp; PROGRESS</t>
  </si>
  <si>
    <t>Weigh in once a week at a fixed time. Enter date + weight; the chart and dashboard update automatically.</t>
  </si>
  <si>
    <t>Date</t>
  </si>
  <si>
    <t>Weight (kg)</t>
  </si>
  <si>
    <t>Change (kg)</t>
  </si>
  <si>
    <t>Note</t>
  </si>
  <si>
    <t>SHOPPING LIST</t>
  </si>
  <si>
    <t>Your weekly list, by category. Tick what you already have.</t>
  </si>
  <si>
    <t>Category</t>
  </si>
  <si>
    <t>Item</t>
  </si>
  <si>
    <t>Quantity</t>
  </si>
  <si>
    <t>Got it?</t>
  </si>
  <si>
    <t>Produce</t>
  </si>
  <si>
    <t>Dairy</t>
  </si>
  <si>
    <t>RECIPES</t>
  </si>
  <si>
    <t>10 chef-built recipes with macros and method. Macros are estimates for the amounts shown.</t>
  </si>
  <si>
    <t>Savoury Oats with Egg</t>
  </si>
  <si>
    <t>Breakfast · Fibermaxxing / Recovery   —   420 kcal · 22g P · 42g C · 16g F · 9g fibre</t>
  </si>
  <si>
    <t>INGREDIENTS</t>
  </si>
  <si>
    <t>Oats</t>
  </si>
  <si>
    <t>50 g</t>
  </si>
  <si>
    <t>Low-fat stock</t>
  </si>
  <si>
    <t>150 ml</t>
  </si>
  <si>
    <t>Fresh spinach</t>
  </si>
  <si>
    <t>100 g</t>
  </si>
  <si>
    <t>Egg (poached)</t>
  </si>
  <si>
    <t>1 (50 g)</t>
  </si>
  <si>
    <t>Pumpkin seeds</t>
  </si>
  <si>
    <t>15 g</t>
  </si>
  <si>
    <t>METHOD</t>
  </si>
  <si>
    <t>Bring the stock to a gentle simmer in a small pan.</t>
  </si>
  <si>
    <t>Stir in the oats and cook 4–5 min, stirring, until creamy.</t>
  </si>
  <si>
    <t>Fold through the spinach in the last minute until just wilted; season.</t>
  </si>
  <si>
    <t>Meanwhile poach the egg ~3 min in simmering water with a splash of vinegar.</t>
  </si>
  <si>
    <t>Spoon the oats into a bowl, top with the egg, scatter the pumpkin seeds and a crack of pepper.</t>
  </si>
  <si>
    <t>Vegan Lentil-Chickpea Curry</t>
  </si>
  <si>
    <t>Dinner · Plant-based / Muscle gain   —   510 kcal · 26g P · 58g C · 15g F · 14g fibre</t>
  </si>
  <si>
    <t>Lentils (tinned)</t>
  </si>
  <si>
    <t>Chickpeas (tinned)</t>
  </si>
  <si>
    <t>Chopped tomatoes</t>
  </si>
  <si>
    <t>150 g</t>
  </si>
  <si>
    <t>Light coconut milk</t>
  </si>
  <si>
    <t>50 ml</t>
  </si>
  <si>
    <t>Kale</t>
  </si>
  <si>
    <t>30 g</t>
  </si>
  <si>
    <t>Curry spices</t>
  </si>
  <si>
    <t>5 g</t>
  </si>
  <si>
    <t>Warm a dash of oil in a pan and toast the curry spices ~30 sec until fragrant.</t>
  </si>
  <si>
    <t>Add the chopped tomatoes and simmer 3–4 min to reduce slightly.</t>
  </si>
  <si>
    <t>Stir in the drained lentils and chickpeas; simmer 5 min.</t>
  </si>
  <si>
    <t>Pour in the coconut milk, add the kale, and cook 2–3 min until the kale softens.</t>
  </si>
  <si>
    <t>Season with salt; finish with lemon or coriander. Serve as is or with rice.</t>
  </si>
  <si>
    <t>Matcha Protein Overnight Oats</t>
  </si>
  <si>
    <t>Breakfast · Focus / Pre-workout   —   460 kcal · 32g P · 48g C · 12g F · 8g fibre</t>
  </si>
  <si>
    <t>45 g</t>
  </si>
  <si>
    <t>Vanilla protein powder</t>
  </si>
  <si>
    <t>Matcha powder</t>
  </si>
  <si>
    <t>2 g</t>
  </si>
  <si>
    <t>Chia seeds</t>
  </si>
  <si>
    <t>10 g</t>
  </si>
  <si>
    <t>Almond milk</t>
  </si>
  <si>
    <t>In a jar, whisk the almond milk with the protein powder and matcha until smooth.</t>
  </si>
  <si>
    <t>Stir in the oats and chia seeds.</t>
  </si>
  <si>
    <t>Seal and refrigerate overnight (minimum 4 hours).</t>
  </si>
  <si>
    <t>In the morning, stir and loosen with a splash of milk if thick. Top with fruit if you like.</t>
  </si>
  <si>
    <t>Salmon &amp; Quinoa Clean Bowl</t>
  </si>
  <si>
    <t>Dinner · Clean label / Omega-3   —   580 kcal · 38g P · 45g C · 22g F · 7g fibre</t>
  </si>
  <si>
    <t>Quinoa (dry)</t>
  </si>
  <si>
    <t>60 g</t>
  </si>
  <si>
    <t>Salmon fillet</t>
  </si>
  <si>
    <t>125 g</t>
  </si>
  <si>
    <t>Broccoli (steamed)</t>
  </si>
  <si>
    <t>Edamame</t>
  </si>
  <si>
    <t>Olive oil + lemon</t>
  </si>
  <si>
    <t>Rinse the quinoa and simmer in twice its volume of water 12–15 min until fluffy; rest covered.</t>
  </si>
  <si>
    <t>Season the salmon and pan-sear skin-side down 3–4 min, then flip for 2 min (or bake at 200°C ~12 min).</t>
  </si>
  <si>
    <t>Steam the broccoli and edamame 4–5 min until bright and just tender.</t>
  </si>
  <si>
    <t>Whisk the olive oil with the lemon juice, salt and pepper.</t>
  </si>
  <si>
    <t>Build the bowl with quinoa, broccoli and edamame; flake over the salmon and dress.</t>
  </si>
  <si>
    <t>Tempeh &amp; Broccoli Stir-Fry</t>
  </si>
  <si>
    <t>Dinner · Plant-based / Gut health   —   490 kcal · 28g P · 35g C · 21g F · 10g fibre</t>
  </si>
  <si>
    <t>Tempeh</t>
  </si>
  <si>
    <t>120 g</t>
  </si>
  <si>
    <t>Broccoli florets</t>
  </si>
  <si>
    <t>Bell pepper</t>
  </si>
  <si>
    <t>75 g</t>
  </si>
  <si>
    <t>Brown rice (dry)</t>
  </si>
  <si>
    <t>Tamari, ginger, garlic</t>
  </si>
  <si>
    <t>Cook the brown rice (simmer ~25 min) and keep warm.</t>
  </si>
  <si>
    <t>Cube the tempeh and sear in a hot pan with a little oil until golden on all sides.</t>
  </si>
  <si>
    <t>Add the broccoli and pepper; stir-fry 4–5 min, adding a splash of water to steam.</t>
  </si>
  <si>
    <t>Add grated ginger and garlic for 30 sec, then the tamari, and toss to coat.</t>
  </si>
  <si>
    <t>Serve over the brown rice.</t>
  </si>
  <si>
    <t>Ashwagandha Recovery Shake</t>
  </si>
  <si>
    <t>Snack · Adaptogens / Calm   —   340 kcal · 26g P · 28g C · 8g F · 6g fibre</t>
  </si>
  <si>
    <t>Frozen banana</t>
  </si>
  <si>
    <t>Protein powder</t>
  </si>
  <si>
    <t>250 ml</t>
  </si>
  <si>
    <t>Almond butter</t>
  </si>
  <si>
    <t>Ashwagandha powder</t>
  </si>
  <si>
    <t>3 g</t>
  </si>
  <si>
    <t>Add everything to a blender.</t>
  </si>
  <si>
    <t>Blend 30–45 sec until smooth and thick.</t>
  </si>
  <si>
    <t>Loosen with more milk or thicken with ice to taste. Drink fresh.</t>
  </si>
  <si>
    <t>Cottage Cheese &amp; Avocado Toast</t>
  </si>
  <si>
    <t>Breakfast · Quick protein / Healthy fats   —   390 kcal · 24g P · 30g C · 17g F · 8g fibre</t>
  </si>
  <si>
    <t>Wholegrain / sourdough bread</t>
  </si>
  <si>
    <t>70 g</t>
  </si>
  <si>
    <t>Cottage cheese</t>
  </si>
  <si>
    <t>Avocado</t>
  </si>
  <si>
    <t>Chilli, pepper, salt</t>
  </si>
  <si>
    <t>to taste</t>
  </si>
  <si>
    <t>Toast the bread to your liking.</t>
  </si>
  <si>
    <t>Spread the cottage cheese over the warm toast.</t>
  </si>
  <si>
    <t>Fork-mash or slice the avocado on top.</t>
  </si>
  <si>
    <t>Finish with chilli flakes, salt and pepper, and a squeeze of lemon if you like.</t>
  </si>
  <si>
    <t>Chicken &amp; Sweet Potato Traybake</t>
  </si>
  <si>
    <t>Dinner · Clean label / Endurance   —   540 kcal · 42g P · 52g C · 12g F · 8g fibre</t>
  </si>
  <si>
    <t>Chicken breast</t>
  </si>
  <si>
    <t>Sweet potato</t>
  </si>
  <si>
    <t>200 g</t>
  </si>
  <si>
    <t>Asparagus tips</t>
  </si>
  <si>
    <t>Olive oil</t>
  </si>
  <si>
    <t>12 g</t>
  </si>
  <si>
    <t>Paprika, salt, rosemary</t>
  </si>
  <si>
    <t>Heat the oven to 200°C. Cube the sweet potato and toss with half the oil, paprika and salt.</t>
  </si>
  <si>
    <t>Roast the sweet potato on a tray for 15 min.</t>
  </si>
  <si>
    <t>Rub the chicken with the rest of the oil and the rosemary; add to the tray and roast 15 min.</t>
  </si>
  <si>
    <t>Add the asparagus and roast a final 8–10 min, until the chicken reaches 74°C.</t>
  </si>
  <si>
    <t>Rest 3 min, then serve.</t>
  </si>
  <si>
    <t>Chia Pudding with Blueberries</t>
  </si>
  <si>
    <t>Snack · Fibermaxxing / Antioxidants   —   310 kcal · 15g P · 22g C · 14g F · 11g fibre</t>
  </si>
  <si>
    <t>25 g</t>
  </si>
  <si>
    <t>Lupin flour / protein</t>
  </si>
  <si>
    <t>Plant milk</t>
  </si>
  <si>
    <t>Blueberries</t>
  </si>
  <si>
    <t>Cinnamon</t>
  </si>
  <si>
    <t>1 g</t>
  </si>
  <si>
    <t>Whisk the plant milk with the lupin flour / protein powder and cinnamon.</t>
  </si>
  <si>
    <t>Stir in the chia seeds; wait 5 min and stir again to stop clumping.</t>
  </si>
  <si>
    <t>Refrigerate 2 hours or overnight until set.</t>
  </si>
  <si>
    <t>Top with the blueberries before serving.</t>
  </si>
  <si>
    <t>High-Protein Pancakes</t>
  </si>
  <si>
    <t>Breakfast · Muscle recovery / Classic   —   430 kcal · 35g P · 38g C · 9g F · 5g fibre</t>
  </si>
  <si>
    <t>Oat flour</t>
  </si>
  <si>
    <t>40 g</t>
  </si>
  <si>
    <t>Whey or pea protein</t>
  </si>
  <si>
    <t>Egg</t>
  </si>
  <si>
    <t>Skimmed milk</t>
  </si>
  <si>
    <t>100 ml</t>
  </si>
  <si>
    <t>Whisk the oat flour, protein powder, egg and milk into a smooth batter; rest 5 min.</t>
  </si>
  <si>
    <t>Heat a non-stick pan over medium with a little spray oil.</t>
  </si>
  <si>
    <t>Pour small pancakes; cook until bubbles form (~1–2 min), flip, and cook 1 min more.</t>
  </si>
  <si>
    <t>Stack and top with fruit or yoghurt if you like.</t>
  </si>
  <si>
    <t>64g Oats, 192g Low-fat stock, 128g Fresh spinach, 64g Egg (poached), 19g Pumpkin seeds</t>
  </si>
  <si>
    <t>Skyr Bowl with Salmon &amp; Rice</t>
  </si>
  <si>
    <t>192g Salmon fillet, 255g Skyr (plain), 230g White rice (cooked), 128g Cucumber</t>
  </si>
  <si>
    <t>160g Salmon fillet, 77g Quinoa (dry), 128g Broccoli (steamed), 64g Edamame, 13g Olive oil</t>
  </si>
  <si>
    <t>Quark with Banana &amp; Oats</t>
  </si>
  <si>
    <t>319g Quark (low-fat), 153g Banana, 38g Oats</t>
  </si>
  <si>
    <t>46g Oat flour, 35g Pea protein powder, 58g Egg, 115g Skimmed milk</t>
  </si>
  <si>
    <t>Tofu &amp; Veggie Miso Bowl</t>
  </si>
  <si>
    <t>231g Firm tofu, 92g Edamame, 173g Courgette, 12g Sesame oil, 17g Miso paste</t>
  </si>
  <si>
    <t>115g Lentils (tinned), 115g Chickpeas (tinned), 173g Chopped tomatoes, 58g Light coconut milk, 35g Kale</t>
  </si>
  <si>
    <t>Skyr with Berries &amp; Quark</t>
  </si>
  <si>
    <t>231g Skyr (plain), 115g Quark (low-fat), 115g Mixed berries</t>
  </si>
  <si>
    <t>Banana</t>
  </si>
  <si>
    <t>612 g</t>
  </si>
  <si>
    <t>Courgette</t>
  </si>
  <si>
    <t>519 g</t>
  </si>
  <si>
    <t>512 g</t>
  </si>
  <si>
    <t>Cucumber</t>
  </si>
  <si>
    <t>Mixed berries</t>
  </si>
  <si>
    <t>345 g</t>
  </si>
  <si>
    <t>105 g</t>
  </si>
  <si>
    <t>1.4 kg</t>
  </si>
  <si>
    <t>Firm tofu</t>
  </si>
  <si>
    <t>693 g</t>
  </si>
  <si>
    <t>256 g</t>
  </si>
  <si>
    <t>174 g</t>
  </si>
  <si>
    <t>Pea protein powder</t>
  </si>
  <si>
    <t>Skyr (plain)</t>
  </si>
  <si>
    <t>1.7 kg</t>
  </si>
  <si>
    <t>Quark (low-fat)</t>
  </si>
  <si>
    <t>1.6 kg</t>
  </si>
  <si>
    <t>Grains &amp; Carbs</t>
  </si>
  <si>
    <t>White rice (cooked)</t>
  </si>
  <si>
    <t>920 g</t>
  </si>
  <si>
    <t>408 g</t>
  </si>
  <si>
    <t>308 g</t>
  </si>
  <si>
    <t>138 g</t>
  </si>
  <si>
    <t>Pantry</t>
  </si>
  <si>
    <t>768 g</t>
  </si>
  <si>
    <t>76 g</t>
  </si>
  <si>
    <t>52 g</t>
  </si>
  <si>
    <t>Sesame oil</t>
  </si>
  <si>
    <t>36 g</t>
  </si>
  <si>
    <t>Other</t>
  </si>
  <si>
    <t>532 g</t>
  </si>
  <si>
    <t>Miso paste</t>
  </si>
  <si>
    <t>51 g</t>
  </si>
  <si>
    <t/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</si>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</sst>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&quot; kg&quot;"/>
    <numFmt numFmtId="165" formatCode="\+0.0&quot; kg&quot;;\-0.0&quot; kg&quot;;0.0&quot; kg&quot;"/>
    <numFmt numFmtId="166" formatCode="#,##0&quot; kcal&quot;"/>
    <numFmt numFmtId="167" formatCode="0&quot; g&quot;"/>
    <numFmt numFmtId="168" formatCode="0.0"/>
    <numFmt numFmtId="169" formatCode="mm\-dd\-yyyy"/>
    <numFmt numFmtId="170" formatCode="\+0.0;\-0.0"/>
  </numFmts>
  <fonts count="3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b/>
      <sz val="18"/>
      <color rgb="FF0A0A0A"/>
      <name val="Arial"/>
      <charset val="1"/>
    </font>
    <font>
      <b/>
      <sz val="10"/>
      <color rgb="FF8C8C8C"/>
      <name val="Arial"/>
      <charset val="1"/>
    </font>
    <font>
      <b/>
      <sz val="9"/>
      <color rgb="FF8C8C8C"/>
      <name val="Arial"/>
      <charset val="1"/>
    </font>
    <font>
      <b/>
      <sz val="24"/>
      <color rgb="FF0A0A0A"/>
      <name val="Arial"/>
      <charset val="1"/>
    </font>
    <font>
      <b/>
      <sz val="24"/>
      <color rgb="FF1F9D55"/>
      <name val="Arial"/>
      <charset val="1"/>
    </font>
    <font>
      <b/>
      <sz val="16"/>
      <color rgb="FF1F9D55"/>
      <name val="Arial"/>
      <charset val="1"/>
    </font>
    <font>
      <b/>
      <sz val="11"/>
      <color rgb="FF0A0A0A"/>
      <name val="Arial"/>
      <charset val="1"/>
    </font>
    <font>
      <b/>
      <sz val="12"/>
      <color rgb="FFE8321E"/>
      <name val="Arial"/>
      <charset val="1"/>
    </font>
    <font>
      <sz val="11"/>
      <color rgb="FF0A0A0A"/>
      <name val="Arial"/>
      <charset val="1"/>
    </font>
    <font>
      <b/>
      <sz val="13"/>
      <color rgb="FF0A0A0A"/>
      <name val="Arial"/>
      <charset val="1"/>
    </font>
    <font>
      <sz val="10"/>
      <color rgb="FF444444"/>
      <name val="Arial"/>
      <charset val="1"/>
    </font>
    <font>
      <b/>
      <sz val="15"/>
      <color rgb="FF0A0A0A"/>
      <name val="Arial"/>
      <charset val="1"/>
    </font>
    <font>
      <b/>
      <sz val="10"/>
      <color rgb="FFFFFFFF"/>
      <name val="Arial"/>
      <charset val="1"/>
    </font>
    <font>
      <sz val="10"/>
      <color rgb="FF0A0A0A"/>
      <name val="Arial"/>
      <charset val="1"/>
    </font>
    <font>
      <sz val="10"/>
      <color rgb="FF0000FF"/>
      <name val="Arial"/>
      <charset val="1"/>
    </font>
    <font>
      <b/>
      <sz val="14"/>
      <color rgb="FF0A0A0A"/>
      <name val="Arial"/>
      <charset val="1"/>
    </font>
    <font>
      <b/>
      <sz val="13"/>
      <color rgb="FFE8321E"/>
      <name val="Arial"/>
      <charset val="1"/>
    </font>
    <font>
      <b/>
      <sz val="12"/>
      <color rgb="FFFFFFFF"/>
      <name val="Arial"/>
      <charset val="1"/>
    </font>
    <font>
      <sz val="9"/>
      <color rgb="FF404040"/>
      <name val="Arial"/>
      <charset val="1"/>
    </font>
    <font>
      <sz val="10"/>
      <color rgb="FF000000"/>
      <name val="Arial"/>
      <charset val="1"/>
    </font>
    <font>
      <b/>
      <sz val="10"/>
      <color rgb="FF0A0A0A"/>
      <name val="Arial"/>
      <charset val="1"/>
    </font>
    <font>
      <b/>
      <sz val="10"/>
      <color rgb="FF747474"/>
      <name val="Arial"/>
      <family val="2"/>
    </font>
    <font>
      <i/>
      <sz val="9"/>
      <color rgb="FF747474"/>
      <name val="Arial"/>
      <family val="2"/>
    </font>
    <font>
      <sz val="10"/>
      <color rgb="FF747474"/>
      <name val="Arial"/>
      <family val="2"/>
    </font>
    <font>
      <b/>
      <sz val="9"/>
      <color rgb="FF747474"/>
      <name val="Arial"/>
      <family val="2"/>
    </font>
    <font>
      <sz val="9"/>
      <color rgb="FF747474"/>
      <name val="Arial"/>
      <family val="2"/>
    </font>
    <font>
      <b/>
      <sz val="11"/>
      <color rgb="FFE12605"/>
      <name val="Arial"/>
      <family val="2"/>
    </font>
    <font>
      <b/>
      <sz val="9"/>
      <color rgb="FFE12605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8321E"/>
        <bgColor rgb="FFFF6600"/>
      </patternFill>
    </fill>
    <fill>
      <patternFill patternType="solid">
        <fgColor rgb="FFFAFAFA"/>
        <bgColor rgb="FFFBFBFB"/>
      </patternFill>
    </fill>
    <fill>
      <patternFill patternType="solid">
        <fgColor rgb="FFFFF0ED"/>
        <bgColor rgb="FFF6F6F6"/>
      </patternFill>
    </fill>
    <fill>
      <patternFill patternType="solid">
        <fgColor rgb="FFFBFBFB"/>
        <bgColor rgb="FFFAFAFA"/>
      </patternFill>
    </fill>
    <fill>
      <patternFill patternType="solid">
        <fgColor rgb="FF0A0A0A"/>
        <bgColor rgb="FF000000"/>
      </patternFill>
    </fill>
    <fill>
      <patternFill patternType="solid">
        <fgColor rgb="FFF6F6F6"/>
        <bgColor rgb="FFFAFAFA"/>
      </patternFill>
    </fill>
  </fills>
  <borders count="13">
    <border>
      <left/>
      <right/>
      <top/>
      <bottom/>
      <diagonal/>
    </border>
    <border>
      <left style="thick">
        <color rgb="FFE8321E"/>
      </left>
      <right style="thin">
        <color rgb="FFE6E6E6"/>
      </right>
      <top style="thin">
        <color rgb="FFE6E6E6"/>
      </top>
      <bottom/>
      <diagonal/>
    </border>
    <border>
      <left style="thick">
        <color rgb="FF1F9D55"/>
      </left>
      <right style="thin">
        <color rgb="FFE6E6E6"/>
      </right>
      <top style="thin">
        <color rgb="FFE6E6E6"/>
      </top>
      <bottom/>
      <diagonal/>
    </border>
    <border>
      <left style="thick">
        <color rgb="FFE8321E"/>
      </left>
      <right style="thin">
        <color rgb="FFE6E6E6"/>
      </right>
      <top/>
      <bottom style="thin">
        <color rgb="FFE6E6E6"/>
      </bottom>
      <diagonal/>
    </border>
    <border>
      <left style="thick">
        <color rgb="FF1F9D55"/>
      </left>
      <right style="thin">
        <color rgb="FFE6E6E6"/>
      </right>
      <top/>
      <bottom style="thin">
        <color rgb="FFE6E6E6"/>
      </bottom>
      <diagonal/>
    </border>
    <border>
      <left style="thick">
        <color rgb="FFE8321E"/>
      </left>
      <right/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/>
      <right/>
      <top style="medium">
        <color rgb="FF0A0A0A"/>
      </top>
      <bottom/>
      <diagonal/>
    </border>
    <border>
      <left style="thick">
        <color rgb="FF1F9D55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ck">
        <color rgb="FFFF6A52"/>
      </left>
      <right style="thin">
        <color rgb="FFE6E6E6"/>
      </right>
      <top style="thin">
        <color rgb="FFE6E6E6"/>
      </top>
      <bottom/>
      <diagonal/>
    </border>
    <border>
      <left style="thick">
        <color rgb="FFB9B9B9"/>
      </left>
      <right style="thin">
        <color rgb="FFE6E6E6"/>
      </right>
      <top style="thin">
        <color rgb="FFE6E6E6"/>
      </top>
      <bottom/>
      <diagonal/>
    </border>
    <border>
      <left style="thick">
        <color rgb="FFFF6A52"/>
      </left>
      <right style="thin">
        <color rgb="FFE6E6E6"/>
      </right>
      <top/>
      <bottom style="thin">
        <color rgb="FFE6E6E6"/>
      </bottom>
      <diagonal/>
    </border>
    <border>
      <left style="thick">
        <color rgb="FFB9B9B9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7" xfId="0" applyFont="1" applyBorder="1" applyAlignment="1">
      <alignment horizontal="left" vertical="center" indent="1"/>
    </xf>
    <xf numFmtId="0" fontId="10" fillId="0" borderId="6" xfId="0" applyFont="1" applyBorder="1" applyAlignment="1">
      <alignment horizontal="left" vertical="center" indent="1"/>
    </xf>
    <xf numFmtId="0" fontId="8" fillId="4" borderId="5" xfId="0" applyFont="1" applyFill="1" applyBorder="1" applyAlignment="1">
      <alignment horizontal="center" vertical="center"/>
    </xf>
    <xf numFmtId="0" fontId="8" fillId="0" borderId="0" xfId="0" applyFont="1"/>
    <xf numFmtId="166" fontId="5" fillId="3" borderId="3" xfId="0" applyNumberFormat="1" applyFont="1" applyFill="1" applyBorder="1" applyAlignment="1">
      <alignment horizontal="left" vertical="center" indent="1"/>
    </xf>
    <xf numFmtId="0" fontId="7" fillId="3" borderId="4" xfId="0" applyFont="1" applyFill="1" applyBorder="1" applyAlignment="1">
      <alignment horizontal="left" vertical="center" indent="1"/>
    </xf>
    <xf numFmtId="165" fontId="6" fillId="3" borderId="4" xfId="0" applyNumberFormat="1" applyFont="1" applyFill="1" applyBorder="1" applyAlignment="1">
      <alignment horizontal="left" vertical="center" indent="1"/>
    </xf>
    <xf numFmtId="164" fontId="5" fillId="3" borderId="3" xfId="0" applyNumberFormat="1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right" vertical="center"/>
    </xf>
    <xf numFmtId="0" fontId="14" fillId="6" borderId="6" xfId="0" applyFont="1" applyFill="1" applyBorder="1" applyAlignment="1">
      <alignment horizontal="center" vertical="center"/>
    </xf>
    <xf numFmtId="0" fontId="15" fillId="0" borderId="6" xfId="0" applyFont="1" applyBorder="1"/>
    <xf numFmtId="0" fontId="15" fillId="0" borderId="6" xfId="0" applyFont="1" applyBorder="1" applyAlignment="1">
      <alignment horizontal="center"/>
    </xf>
    <xf numFmtId="0" fontId="15" fillId="7" borderId="6" xfId="0" applyFont="1" applyFill="1" applyBorder="1"/>
    <xf numFmtId="0" fontId="15" fillId="7" borderId="6" xfId="0" applyFont="1" applyFill="1" applyBorder="1" applyAlignment="1">
      <alignment horizontal="center"/>
    </xf>
    <xf numFmtId="169" fontId="15" fillId="0" borderId="6" xfId="0" applyNumberFormat="1" applyFont="1" applyBorder="1" applyAlignment="1">
      <alignment horizontal="center"/>
    </xf>
    <xf numFmtId="168" fontId="16" fillId="0" borderId="6" xfId="0" applyNumberFormat="1" applyFont="1" applyBorder="1" applyAlignment="1">
      <alignment horizontal="center"/>
    </xf>
    <xf numFmtId="0" fontId="15" fillId="0" borderId="6" xfId="0" applyFont="1" applyBorder="1" applyAlignment="1">
      <alignment horizontal="left"/>
    </xf>
    <xf numFmtId="170" fontId="15" fillId="0" borderId="6" xfId="0" applyNumberFormat="1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0" xfId="0" applyFont="1"/>
    <xf numFmtId="0" fontId="18" fillId="6" borderId="0" xfId="0" applyFont="1" applyFill="1" applyAlignment="1">
      <alignment horizontal="center" vertical="center"/>
    </xf>
    <xf numFmtId="0" fontId="22" fillId="0" borderId="0" xfId="0" applyFont="1" applyAlignment="1">
      <alignment horizontal="right"/>
    </xf>
    <xf numFmtId="166" fontId="11" fillId="0" borderId="7" xfId="0" applyNumberFormat="1" applyFont="1" applyBorder="1" applyAlignment="1">
      <alignment horizontal="right" vertical="center"/>
    </xf>
    <xf numFmtId="0" fontId="12" fillId="5" borderId="8" xfId="0" applyFont="1" applyFill="1" applyBorder="1" applyAlignment="1">
      <alignment horizontal="left" vertical="center" indent="1"/>
    </xf>
    <xf numFmtId="0" fontId="4" fillId="3" borderId="9" xfId="0" applyFont="1" applyFill="1" applyBorder="1" applyAlignment="1">
      <alignment horizontal="left" vertical="center" indent="1"/>
    </xf>
    <xf numFmtId="0" fontId="4" fillId="3" borderId="10" xfId="0" applyFont="1" applyFill="1" applyBorder="1" applyAlignment="1">
      <alignment horizontal="left" vertical="center" indent="1"/>
    </xf>
    <xf numFmtId="167" fontId="2" fillId="3" borderId="3" xfId="0" applyNumberFormat="1" applyFont="1" applyFill="1" applyBorder="1" applyAlignment="1">
      <alignment horizontal="left" vertical="center" indent="1"/>
    </xf>
    <xf numFmtId="167" fontId="2" fillId="3" borderId="11" xfId="0" applyNumberFormat="1" applyFont="1" applyFill="1" applyBorder="1" applyAlignment="1">
      <alignment horizontal="left" vertical="center" indent="1"/>
    </xf>
    <xf numFmtId="167" fontId="2" fillId="3" borderId="12" xfId="0" applyNumberFormat="1" applyFont="1" applyFill="1" applyBorder="1" applyAlignment="1">
      <alignment horizontal="left" vertical="center" indent="1"/>
    </xf>
    <xf numFmtId="0" fontId="13" fillId="0" borderId="0" xfId="0" applyFont="1"/>
    <xf numFmtId="0" fontId="19" fillId="6" borderId="0" xfId="0" applyFont="1" applyFill="1" applyAlignment="1">
      <alignment vertical="center" indent="1"/>
    </xf>
    <xf numFmtId="0" fontId="20" fillId="3" borderId="0" xfId="0" applyFont="1" applyFill="1" applyAlignment="1">
      <alignment indent="1"/>
    </xf>
    <xf numFmtId="0" fontId="21" fillId="0" borderId="0" xfId="0" applyFont="1" applyAlignment="1">
      <alignment indent="1"/>
    </xf>
    <xf numFmtId="0" fontId="21" fillId="0" borderId="0" xfId="0" applyFont="1" applyAlignment="1">
      <alignment vertical="top" wrapText="1" indent="1"/>
    </xf>
    <xf numFmtId="0" fontId="23" fillId="0" borderId="0" xfId="0" applyFont="1" applyAlignment="1">
      <alignment horizontal="right" vertical="center"/>
    </xf>
    <xf numFmtId="0" fontId="23" fillId="0" borderId="7" xfId="0" applyFont="1" applyBorder="1" applyAlignment="1">
      <alignment horizontal="left" vertical="center" indent="1"/>
    </xf>
    <xf numFmtId="0" fontId="24" fillId="0" borderId="0" xfId="0" applyFont="1"/>
    <xf numFmtId="0" fontId="25" fillId="0" borderId="6" xfId="0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6" xfId="0" applyFont="1" applyBorder="1" applyAlignment="1">
      <alignment horizontal="left" vertical="center"/>
    </xf>
    <xf numFmtId="0" fontId="28" fillId="0" borderId="0" xfId="0" applyFont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832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9B9"/>
      <rgbColor rgb="FF878787"/>
      <rgbColor rgb="FF9999FF"/>
      <rgbColor rgb="FF993366"/>
      <rgbColor rgb="FFFFF0ED"/>
      <rgbColor rgb="FFF6F6F6"/>
      <rgbColor rgb="FF660066"/>
      <rgbColor rgb="FFFF6A52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E6"/>
      <rgbColor rgb="FFFAFAFA"/>
      <rgbColor rgb="FFFBFBF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003366"/>
      <rgbColor rgb="FF1F9D55"/>
      <rgbColor rgb="FF0A0A0A"/>
      <rgbColor rgb="FF444444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Weight!$B$3</c:f>
              <c:strCache>
                <c:ptCount val="1"/>
                <c:pt idx="0">
                  <c:v>Weight (kg)</c:v>
                </c:pt>
              </c:strCache>
            </c:strRef>
          </c:tx>
          <c:spPr>
            <a:ln w="28080">
              <a:solidFill>
                <a:srgbClr val="E8321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nl-N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Weight!$A$4:$A$30</c:f>
              <c:numCache>
                <c:formatCode>mm\-dd\-yyyy</c:formatCode>
                <c:ptCount val="27"/>
                <c:pt idx="0">
                  <c:v>46271</c:v>
                </c:pt>
                <c:pt idx="1">
                  <c:v>46278</c:v>
                </c:pt>
                <c:pt idx="2">
                  <c:v>46285</c:v>
                </c:pt>
                <c:pt idx="3">
                  <c:v>46292</c:v>
                </c:pt>
                <c:pt idx="4">
                  <c:v>46299</c:v>
                </c:pt>
                <c:pt idx="5">
                  <c:v>46306</c:v>
                </c:pt>
                <c:pt idx="6">
                  <c:v>46313</c:v>
                </c:pt>
                <c:pt idx="7">
                  <c:v>46320</c:v>
                </c:pt>
              </c:numCache>
            </c:numRef>
          </c:cat>
          <c:val>
            <c:numRef>
              <c:f>Weight!$B$4:$B$30</c:f>
              <c:numCache>
                <c:formatCode>0.0</c:formatCode>
                <c:ptCount val="27"/>
                <c:pt idx="0">
                  <c:v>88.6</c:v>
                </c:pt>
                <c:pt idx="1">
                  <c:v>88.2</c:v>
                </c:pt>
                <c:pt idx="2">
                  <c:v>88.4</c:v>
                </c:pt>
                <c:pt idx="3">
                  <c:v>87.9</c:v>
                </c:pt>
                <c:pt idx="4">
                  <c:v>87.6</c:v>
                </c:pt>
                <c:pt idx="5">
                  <c:v>87.7</c:v>
                </c:pt>
                <c:pt idx="6">
                  <c:v>87.2</c:v>
                </c:pt>
                <c:pt idx="7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0-4EBB-96F1-07B7F1AD8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911378"/>
        <c:axId val="45546000"/>
      </c:lineChart>
      <c:dateAx>
        <c:axId val="83911378"/>
        <c:scaling>
          <c:orientation val="minMax"/>
        </c:scaling>
        <c:delete val="0"/>
        <c:axPos val="b"/>
        <c:numFmt formatCode="mm\-dd\-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nl-NL"/>
          </a:p>
        </c:txPr>
        <c:crossAx val="45546000"/>
        <c:crosses val="autoZero"/>
        <c:auto val="1"/>
        <c:lblOffset val="100"/>
        <c:baseTimeUnit val="days"/>
      </c:dateAx>
      <c:valAx>
        <c:axId val="45546000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nl-NL"/>
          </a:p>
        </c:txPr>
        <c:crossAx val="839113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6</xdr:col>
      <xdr:colOff>77760</xdr:colOff>
      <xdr:row>14</xdr:row>
      <xdr:rowOff>97560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8321E"/>
  </sheetPr>
  <dimension ref="A1:N20"/>
  <sheetViews>
    <sheetView showGridLines="0" zoomScaleNormal="100" workbookViewId="0">
      <selection activeCell="H15" sqref="H15"/>
    </sheetView>
  </sheetViews>
  <sheetFormatPr defaultColWidth="8.6640625" defaultRowHeight="14.4" x14ac:dyDescent="0.3"/>
  <cols>
    <col min="1" max="12" width="9.5546875" customWidth="1"/>
    <col min="14" max="14" width="13" hidden="1" customWidth="1"/>
  </cols>
  <sheetData>
    <row r="1" spans="1:14" ht="21.75" customHeight="1" x14ac:dyDescent="0.3">
      <c r="A1" s="12" t="s">
        <v>0</v>
      </c>
      <c r="B1" s="11" t="s">
        <v>1</v>
      </c>
      <c r="C1" s="11"/>
      <c r="D1" s="11"/>
      <c r="E1" s="11"/>
      <c r="F1" s="11"/>
      <c r="I1" s="41" t="s">
        <v>2</v>
      </c>
      <c r="J1" s="41"/>
      <c r="K1" s="41"/>
      <c r="L1" s="41"/>
      <c r="N1">
        <f>IFERROR(LOOKUP(2,1/(Weight!$B$4:$B$30&lt;&gt;""),Weight!$B$4:$B$30),"")</f>
        <v>87</v>
      </c>
    </row>
    <row r="2" spans="1:14" ht="19.5" customHeight="1" x14ac:dyDescent="0.3">
      <c r="A2" s="12"/>
      <c r="B2" s="12"/>
      <c r="C2" s="11"/>
      <c r="D2" s="11"/>
      <c r="E2" s="11"/>
      <c r="F2" s="11"/>
      <c r="I2" s="41"/>
      <c r="J2" s="41"/>
      <c r="K2" s="41"/>
      <c r="L2" s="41"/>
      <c r="N2">
        <f>IFERROR(LOOKUP(2,1/(Weight!$C$4:$C$30&lt;&gt;""),Weight!$C$4:$C$30),"")</f>
        <v>-0.20000000000000284</v>
      </c>
    </row>
    <row r="3" spans="1:14" ht="15" customHeight="1" x14ac:dyDescent="0.3">
      <c r="N3">
        <f>IF(AND(N1&lt;&gt;"",N2&lt;&gt;""),N2/N1,"")</f>
        <v>-2.2988505747126762E-3</v>
      </c>
    </row>
    <row r="4" spans="1:14" ht="19.5" customHeight="1" x14ac:dyDescent="0.3">
      <c r="A4" s="10" t="s">
        <v>3</v>
      </c>
      <c r="B4" s="10"/>
      <c r="C4" s="10"/>
      <c r="D4" s="9" t="s">
        <v>4</v>
      </c>
      <c r="E4" s="9"/>
      <c r="F4" s="9"/>
      <c r="G4" s="9" t="s">
        <v>5</v>
      </c>
      <c r="H4" s="9"/>
      <c r="I4" s="9"/>
      <c r="J4" s="10" t="s">
        <v>6</v>
      </c>
      <c r="K4" s="10"/>
      <c r="L4" s="10"/>
    </row>
    <row r="5" spans="1:14" ht="19.5" customHeight="1" x14ac:dyDescent="0.3">
      <c r="A5" s="8">
        <f>N1</f>
        <v>87</v>
      </c>
      <c r="B5" s="8"/>
      <c r="C5" s="8"/>
      <c r="D5" s="7">
        <f>N2</f>
        <v>-0.20000000000000284</v>
      </c>
      <c r="E5" s="7"/>
      <c r="F5" s="7"/>
      <c r="G5" s="6" t="str">
        <f>IF(N3="","",IF(N3&lt;-0.01,"! Too fast",IF(N3&lt;-0.003,"✓ On track",IF(N3&lt;=0.003,"– Stable",IF(N3&lt;=0.01,"✓ On track","! Too fast")))))</f>
        <v>– Stable</v>
      </c>
      <c r="H5" s="6"/>
      <c r="I5" s="6"/>
      <c r="J5" s="5">
        <f>SUMIFS('Meal plan'!$E$4:$E$31,'Meal plan'!$A$4:$A$31,$K$8)</f>
        <v>2490</v>
      </c>
      <c r="K5" s="5"/>
      <c r="L5" s="5"/>
    </row>
    <row r="6" spans="1:14" ht="19.5" customHeight="1" x14ac:dyDescent="0.3">
      <c r="A6" s="8"/>
      <c r="B6" s="8"/>
      <c r="C6" s="8"/>
      <c r="D6" s="7"/>
      <c r="E6" s="7"/>
      <c r="F6" s="7"/>
      <c r="G6" s="6"/>
      <c r="H6" s="6"/>
      <c r="I6" s="6"/>
      <c r="J6" s="5"/>
      <c r="K6" s="5"/>
      <c r="L6" s="5"/>
    </row>
    <row r="7" spans="1:14" ht="7.5" customHeight="1" x14ac:dyDescent="0.3"/>
    <row r="8" spans="1:14" ht="15" customHeight="1" x14ac:dyDescent="0.3">
      <c r="A8" s="4" t="s">
        <v>7</v>
      </c>
      <c r="B8" s="4"/>
      <c r="C8" s="4"/>
      <c r="D8" s="4"/>
      <c r="E8" s="4"/>
      <c r="F8" s="4"/>
      <c r="G8" s="47" t="s">
        <v>8</v>
      </c>
      <c r="H8" s="47"/>
      <c r="I8" s="47"/>
      <c r="J8" s="47"/>
      <c r="K8" s="3" t="s">
        <v>9</v>
      </c>
      <c r="L8" s="3"/>
    </row>
    <row r="9" spans="1:14" ht="27.75" customHeight="1" x14ac:dyDescent="0.3">
      <c r="G9" s="13" t="s">
        <v>238</v>
      </c>
      <c r="H9" s="48" t="s">
        <v>10</v>
      </c>
      <c r="I9" s="2" t="str">
        <f>IFERROR(INDEX('Meal plan'!$C$4:$C$31,MATCH($K$8&amp;"|"&amp;"Breakfast",'Meal plan'!$I$4:$I$31,0)),"")</f>
        <v>Savoury Oats with Egg</v>
      </c>
      <c r="J9" s="2"/>
      <c r="K9" s="2"/>
      <c r="L9" s="14">
        <f>IFERROR(INDEX('Meal plan'!$E$4:$E$31,MATCH($K$8&amp;"|"&amp;"Breakfast",'Meal plan'!$I$4:$I$31,0)),"")</f>
        <v>536</v>
      </c>
    </row>
    <row r="10" spans="1:14" ht="27.75" customHeight="1" x14ac:dyDescent="0.3">
      <c r="G10" s="13" t="s">
        <v>238</v>
      </c>
      <c r="H10" s="48" t="s">
        <v>11</v>
      </c>
      <c r="I10" s="2" t="str">
        <f>IFERROR(INDEX('Meal plan'!$C$4:$C$31,MATCH($K$8&amp;"|"&amp;"Lunch",'Meal plan'!$I$4:$I$31,0)),"")</f>
        <v>Skyr Bowl with Salmon &amp; Rice</v>
      </c>
      <c r="J10" s="2"/>
      <c r="K10" s="2"/>
      <c r="L10" s="14">
        <f>IFERROR(INDEX('Meal plan'!$E$4:$E$31,MATCH($K$8&amp;"|"&amp;"Lunch",'Meal plan'!$I$4:$I$31,0)),"")</f>
        <v>741</v>
      </c>
    </row>
    <row r="11" spans="1:14" ht="27.75" customHeight="1" x14ac:dyDescent="0.3">
      <c r="G11" s="13" t="s">
        <v>238</v>
      </c>
      <c r="H11" s="48" t="s">
        <v>12</v>
      </c>
      <c r="I11" s="2" t="str">
        <f>IFERROR(INDEX('Meal plan'!$C$4:$C$31,MATCH($K$8&amp;"|"&amp;"Dinner",'Meal plan'!$I$4:$I$31,0)),"")</f>
        <v>Salmon &amp; Quinoa Clean Bowl</v>
      </c>
      <c r="J11" s="2"/>
      <c r="K11" s="2"/>
      <c r="L11" s="14">
        <f>IFERROR(INDEX('Meal plan'!$E$4:$E$31,MATCH($K$8&amp;"|"&amp;"Dinner",'Meal plan'!$I$4:$I$31,0)),"")</f>
        <v>741</v>
      </c>
    </row>
    <row r="12" spans="1:14" ht="27.75" customHeight="1" x14ac:dyDescent="0.3">
      <c r="G12" s="13" t="s">
        <v>238</v>
      </c>
      <c r="H12" s="48" t="s">
        <v>13</v>
      </c>
      <c r="I12" s="2" t="str">
        <f>IFERROR(INDEX('Meal plan'!$C$4:$C$31,MATCH($K$8&amp;"|"&amp;"Snack",'Meal plan'!$I$4:$I$31,0)),"")</f>
        <v>Quark with Banana &amp; Oats</v>
      </c>
      <c r="J12" s="2"/>
      <c r="K12" s="2"/>
      <c r="L12" s="14">
        <f>IFERROR(INDEX('Meal plan'!$E$4:$E$31,MATCH($K$8&amp;"|"&amp;"Snack",'Meal plan'!$I$4:$I$31,0)),"")</f>
        <v>472</v>
      </c>
    </row>
    <row r="13" spans="1:14" ht="21.75" customHeight="1" x14ac:dyDescent="0.3">
      <c r="G13" s="42" t="s">
        <v>14</v>
      </c>
      <c r="H13" s="1"/>
      <c r="I13" s="1"/>
      <c r="J13" s="29">
        <f>SUMIFS('Meal plan'!$E$4:$E$31,'Meal plan'!$A$4:$A$31,$K$8)</f>
        <v>2490</v>
      </c>
      <c r="K13" s="29"/>
      <c r="L13" s="29"/>
    </row>
    <row r="14" spans="1:14" ht="9.75" customHeight="1" x14ac:dyDescent="0.3"/>
    <row r="15" spans="1:14" ht="9.75" customHeight="1" x14ac:dyDescent="0.3"/>
    <row r="16" spans="1:14" ht="30" customHeight="1" x14ac:dyDescent="0.3">
      <c r="A16" s="30" t="str">
        <f>IF(N3="","Responsible pace — ~0.5–1% per week. This protects muscle and recovery.",IF(OR(N3&lt;-0.01,N3&gt;0.01),"You're changing faster than 1% per week. Adjust your calories a bit.",IF(N3&gt;-0.003,"Little change. Be patient, or adjust your calories slightly.","Responsible pace — ~0.5–1% per week. This protects muscle and recovery.")))</f>
        <v>Little change. Be patient, or adjust your calories slightly.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</row>
    <row r="17" spans="1:12" ht="7.5" customHeight="1" x14ac:dyDescent="0.3"/>
    <row r="18" spans="1:12" ht="15" customHeight="1" x14ac:dyDescent="0.3">
      <c r="A18" s="4" t="s">
        <v>15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8" customHeight="1" x14ac:dyDescent="0.3">
      <c r="A19" s="10" t="s">
        <v>16</v>
      </c>
      <c r="B19" s="10"/>
      <c r="C19" s="10"/>
      <c r="D19" s="10"/>
      <c r="E19" s="31" t="s">
        <v>17</v>
      </c>
      <c r="F19" s="31"/>
      <c r="G19" s="31"/>
      <c r="H19" s="31"/>
      <c r="I19" s="32" t="s">
        <v>18</v>
      </c>
      <c r="J19" s="32"/>
      <c r="K19" s="32"/>
      <c r="L19" s="32"/>
    </row>
    <row r="20" spans="1:12" ht="25.5" customHeight="1" x14ac:dyDescent="0.3">
      <c r="A20" s="33">
        <f>SUMIFS('Meal plan'!$F$4:$F$31,'Meal plan'!$A$4:$A$31,$K$8)</f>
        <v>181</v>
      </c>
      <c r="B20" s="33"/>
      <c r="C20" s="33"/>
      <c r="D20" s="33"/>
      <c r="E20" s="34">
        <f>SUMIFS('Meal plan'!$G$4:$G$31,'Meal plan'!$A$4:$A$31,$K$8)</f>
        <v>256</v>
      </c>
      <c r="F20" s="34"/>
      <c r="G20" s="34"/>
      <c r="H20" s="34"/>
      <c r="I20" s="35">
        <f>SUMIFS('Meal plan'!$H$4:$H$31,'Meal plan'!$A$4:$A$31,$K$8)</f>
        <v>72</v>
      </c>
      <c r="J20" s="35"/>
      <c r="K20" s="35"/>
      <c r="L20" s="35"/>
    </row>
  </sheetData>
  <mergeCells count="28">
    <mergeCell ref="A20:D20"/>
    <mergeCell ref="E20:H20"/>
    <mergeCell ref="I20:L20"/>
    <mergeCell ref="A16:L16"/>
    <mergeCell ref="A18:L18"/>
    <mergeCell ref="A19:D19"/>
    <mergeCell ref="E19:H19"/>
    <mergeCell ref="I19:L19"/>
    <mergeCell ref="I9:K9"/>
    <mergeCell ref="I10:K10"/>
    <mergeCell ref="I11:K11"/>
    <mergeCell ref="I12:K12"/>
    <mergeCell ref="G13:I13"/>
    <mergeCell ref="J13:L13"/>
    <mergeCell ref="A5:C6"/>
    <mergeCell ref="D5:F6"/>
    <mergeCell ref="G5:I6"/>
    <mergeCell ref="J5:L6"/>
    <mergeCell ref="A8:F8"/>
    <mergeCell ref="G8:J8"/>
    <mergeCell ref="K8:L8"/>
    <mergeCell ref="A1:A2"/>
    <mergeCell ref="B1:F2"/>
    <mergeCell ref="I1:L2"/>
    <mergeCell ref="A4:C4"/>
    <mergeCell ref="D4:F4"/>
    <mergeCell ref="G4:I4"/>
    <mergeCell ref="J4:L4"/>
  </mergeCells>
  <dataValidations count="2">
    <dataValidation type="list" sqref="K8" xr:uid="{00000000-0002-0000-0000-000000000000}">
      <formula1>"Mon,Tue,Wed,Thu,Fri,Sat,Sun"</formula1>
      <formula2>0</formula2>
    </dataValidation>
    <dataValidation type="list" allowBlank="1" sqref="G9:G12" xr:uid="{00000000-0002-0000-0000-000001000000}">
      <formula1>"✓,—"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D9D9"/>
  </sheetPr>
  <dimension ref="A1:I31"/>
  <sheetViews>
    <sheetView showGridLines="0" zoomScaleNormal="100" workbookViewId="0">
      <selection activeCell="A2" sqref="A2:H2"/>
    </sheetView>
  </sheetViews>
  <sheetFormatPr defaultColWidth="8.6640625" defaultRowHeight="14.4" x14ac:dyDescent="0.3"/>
  <cols>
    <col min="1" max="1" width="6" customWidth="1"/>
    <col min="2" max="2" width="10" customWidth="1"/>
    <col min="3" max="3" width="30" customWidth="1"/>
    <col min="4" max="4" width="40" customWidth="1"/>
    <col min="5" max="5" width="7" customWidth="1"/>
    <col min="6" max="7" width="9" customWidth="1"/>
    <col min="8" max="8" width="8" customWidth="1"/>
    <col min="9" max="9" width="14" hidden="1" customWidth="1"/>
  </cols>
  <sheetData>
    <row r="1" spans="1:9" ht="18" customHeight="1" x14ac:dyDescent="0.35">
      <c r="A1" s="36" t="s">
        <v>19</v>
      </c>
      <c r="B1" s="36"/>
      <c r="C1" s="36"/>
      <c r="D1" s="36"/>
      <c r="E1" s="36"/>
      <c r="F1" s="36"/>
      <c r="G1" s="36"/>
      <c r="H1" s="36"/>
    </row>
    <row r="2" spans="1:9" ht="15" customHeight="1" x14ac:dyDescent="0.3">
      <c r="A2" s="43" t="s">
        <v>20</v>
      </c>
      <c r="B2" s="43"/>
      <c r="C2" s="43"/>
      <c r="D2" s="43"/>
      <c r="E2" s="43"/>
      <c r="F2" s="43"/>
      <c r="G2" s="43"/>
      <c r="H2" s="43"/>
    </row>
    <row r="3" spans="1:9" ht="15" customHeight="1" x14ac:dyDescent="0.3">
      <c r="A3" s="15" t="s">
        <v>21</v>
      </c>
      <c r="B3" s="15" t="s">
        <v>22</v>
      </c>
      <c r="C3" s="15" t="s">
        <v>23</v>
      </c>
      <c r="D3" s="15" t="s">
        <v>24</v>
      </c>
      <c r="E3" s="15" t="s">
        <v>25</v>
      </c>
      <c r="F3" s="15" t="s">
        <v>26</v>
      </c>
      <c r="G3" s="15" t="s">
        <v>27</v>
      </c>
      <c r="H3" s="15" t="s">
        <v>28</v>
      </c>
      <c r="I3" t="s">
        <v>29</v>
      </c>
    </row>
    <row r="4" spans="1:9" ht="15" customHeight="1" x14ac:dyDescent="0.3">
      <c r="A4" s="16" t="s">
        <v>9</v>
      </c>
      <c r="B4" s="16" t="s">
        <v>10</v>
      </c>
      <c r="C4" s="16" t="s">
        <v>52</v>
      </c>
      <c r="D4" s="16" t="s">
        <v>190</v>
      </c>
      <c r="E4" s="17">
        <v>536</v>
      </c>
      <c r="F4" s="17">
        <v>28</v>
      </c>
      <c r="G4" s="17">
        <v>54</v>
      </c>
      <c r="H4" s="17">
        <v>20</v>
      </c>
      <c r="I4" t="str">
        <f t="shared" ref="I4:I31" si="0">$A4&amp;"|"&amp;$B4</f>
        <v>Mon|Breakfast</v>
      </c>
    </row>
    <row r="5" spans="1:9" ht="15" customHeight="1" x14ac:dyDescent="0.3">
      <c r="A5" s="16" t="s">
        <v>9</v>
      </c>
      <c r="B5" s="16" t="s">
        <v>11</v>
      </c>
      <c r="C5" s="16" t="s">
        <v>191</v>
      </c>
      <c r="D5" s="16" t="s">
        <v>192</v>
      </c>
      <c r="E5" s="17">
        <v>741</v>
      </c>
      <c r="F5" s="17">
        <v>66</v>
      </c>
      <c r="G5" s="17">
        <v>79</v>
      </c>
      <c r="H5" s="17">
        <v>18</v>
      </c>
      <c r="I5" t="str">
        <f t="shared" si="0"/>
        <v>Mon|Lunch</v>
      </c>
    </row>
    <row r="6" spans="1:9" ht="15" customHeight="1" x14ac:dyDescent="0.3">
      <c r="A6" s="16" t="s">
        <v>9</v>
      </c>
      <c r="B6" s="16" t="s">
        <v>12</v>
      </c>
      <c r="C6" s="16" t="s">
        <v>101</v>
      </c>
      <c r="D6" s="16" t="s">
        <v>193</v>
      </c>
      <c r="E6" s="17">
        <v>741</v>
      </c>
      <c r="F6" s="17">
        <v>49</v>
      </c>
      <c r="G6" s="17">
        <v>57</v>
      </c>
      <c r="H6" s="17">
        <v>28</v>
      </c>
      <c r="I6" t="str">
        <f t="shared" si="0"/>
        <v>Mon|Dinner</v>
      </c>
    </row>
    <row r="7" spans="1:9" ht="15" customHeight="1" x14ac:dyDescent="0.3">
      <c r="A7" s="16" t="s">
        <v>9</v>
      </c>
      <c r="B7" s="16" t="s">
        <v>13</v>
      </c>
      <c r="C7" s="16" t="s">
        <v>194</v>
      </c>
      <c r="D7" s="16" t="s">
        <v>195</v>
      </c>
      <c r="E7" s="17">
        <v>472</v>
      </c>
      <c r="F7" s="17">
        <v>38</v>
      </c>
      <c r="G7" s="17">
        <v>66</v>
      </c>
      <c r="H7" s="17">
        <v>6</v>
      </c>
      <c r="I7" t="str">
        <f t="shared" si="0"/>
        <v>Mon|Snack</v>
      </c>
    </row>
    <row r="8" spans="1:9" ht="15" customHeight="1" x14ac:dyDescent="0.3">
      <c r="A8" s="18" t="s">
        <v>30</v>
      </c>
      <c r="B8" s="18" t="s">
        <v>10</v>
      </c>
      <c r="C8" s="18" t="s">
        <v>178</v>
      </c>
      <c r="D8" s="18" t="s">
        <v>196</v>
      </c>
      <c r="E8" s="19">
        <v>496</v>
      </c>
      <c r="F8" s="19">
        <v>40</v>
      </c>
      <c r="G8" s="19">
        <v>44</v>
      </c>
      <c r="H8" s="19">
        <v>10</v>
      </c>
      <c r="I8" t="str">
        <f t="shared" si="0"/>
        <v>Tue|Breakfast</v>
      </c>
    </row>
    <row r="9" spans="1:9" ht="15" customHeight="1" x14ac:dyDescent="0.3">
      <c r="A9" s="18" t="s">
        <v>30</v>
      </c>
      <c r="B9" s="18" t="s">
        <v>11</v>
      </c>
      <c r="C9" s="18" t="s">
        <v>197</v>
      </c>
      <c r="D9" s="18" t="s">
        <v>198</v>
      </c>
      <c r="E9" s="19">
        <v>554</v>
      </c>
      <c r="F9" s="19">
        <v>44</v>
      </c>
      <c r="G9" s="19">
        <v>42</v>
      </c>
      <c r="H9" s="19">
        <v>23</v>
      </c>
      <c r="I9" t="str">
        <f t="shared" si="0"/>
        <v>Tue|Lunch</v>
      </c>
    </row>
    <row r="10" spans="1:9" ht="15" customHeight="1" x14ac:dyDescent="0.3">
      <c r="A10" s="18" t="s">
        <v>30</v>
      </c>
      <c r="B10" s="18" t="s">
        <v>12</v>
      </c>
      <c r="C10" s="18" t="s">
        <v>71</v>
      </c>
      <c r="D10" s="18" t="s">
        <v>199</v>
      </c>
      <c r="E10" s="19">
        <v>589</v>
      </c>
      <c r="F10" s="19">
        <v>30</v>
      </c>
      <c r="G10" s="19">
        <v>67</v>
      </c>
      <c r="H10" s="19">
        <v>17</v>
      </c>
      <c r="I10" t="str">
        <f t="shared" si="0"/>
        <v>Tue|Dinner</v>
      </c>
    </row>
    <row r="11" spans="1:9" ht="15" customHeight="1" x14ac:dyDescent="0.3">
      <c r="A11" s="18" t="s">
        <v>30</v>
      </c>
      <c r="B11" s="18" t="s">
        <v>13</v>
      </c>
      <c r="C11" s="18" t="s">
        <v>200</v>
      </c>
      <c r="D11" s="18" t="s">
        <v>201</v>
      </c>
      <c r="E11" s="19">
        <v>381</v>
      </c>
      <c r="F11" s="19">
        <v>44</v>
      </c>
      <c r="G11" s="19">
        <v>32</v>
      </c>
      <c r="H11" s="19">
        <v>7</v>
      </c>
      <c r="I11" t="str">
        <f t="shared" si="0"/>
        <v>Tue|Snack</v>
      </c>
    </row>
    <row r="12" spans="1:9" ht="15" customHeight="1" x14ac:dyDescent="0.3">
      <c r="A12" s="16" t="s">
        <v>31</v>
      </c>
      <c r="B12" s="16" t="s">
        <v>10</v>
      </c>
      <c r="C12" s="16" t="s">
        <v>52</v>
      </c>
      <c r="D12" s="16" t="s">
        <v>190</v>
      </c>
      <c r="E12" s="17">
        <v>536</v>
      </c>
      <c r="F12" s="17">
        <v>28</v>
      </c>
      <c r="G12" s="17">
        <v>54</v>
      </c>
      <c r="H12" s="17">
        <v>20</v>
      </c>
      <c r="I12" t="str">
        <f t="shared" si="0"/>
        <v>Wed|Breakfast</v>
      </c>
    </row>
    <row r="13" spans="1:9" ht="15" customHeight="1" x14ac:dyDescent="0.3">
      <c r="A13" s="16" t="s">
        <v>31</v>
      </c>
      <c r="B13" s="16" t="s">
        <v>11</v>
      </c>
      <c r="C13" s="16" t="s">
        <v>191</v>
      </c>
      <c r="D13" s="16" t="s">
        <v>192</v>
      </c>
      <c r="E13" s="17">
        <v>741</v>
      </c>
      <c r="F13" s="17">
        <v>66</v>
      </c>
      <c r="G13" s="17">
        <v>79</v>
      </c>
      <c r="H13" s="17">
        <v>18</v>
      </c>
      <c r="I13" t="str">
        <f t="shared" si="0"/>
        <v>Wed|Lunch</v>
      </c>
    </row>
    <row r="14" spans="1:9" ht="15" customHeight="1" x14ac:dyDescent="0.3">
      <c r="A14" s="16" t="s">
        <v>31</v>
      </c>
      <c r="B14" s="16" t="s">
        <v>12</v>
      </c>
      <c r="C14" s="16" t="s">
        <v>101</v>
      </c>
      <c r="D14" s="16" t="s">
        <v>193</v>
      </c>
      <c r="E14" s="17">
        <v>741</v>
      </c>
      <c r="F14" s="17">
        <v>49</v>
      </c>
      <c r="G14" s="17">
        <v>57</v>
      </c>
      <c r="H14" s="17">
        <v>28</v>
      </c>
      <c r="I14" t="str">
        <f t="shared" si="0"/>
        <v>Wed|Dinner</v>
      </c>
    </row>
    <row r="15" spans="1:9" ht="15" customHeight="1" x14ac:dyDescent="0.3">
      <c r="A15" s="16" t="s">
        <v>31</v>
      </c>
      <c r="B15" s="16" t="s">
        <v>13</v>
      </c>
      <c r="C15" s="16" t="s">
        <v>194</v>
      </c>
      <c r="D15" s="16" t="s">
        <v>195</v>
      </c>
      <c r="E15" s="17">
        <v>472</v>
      </c>
      <c r="F15" s="17">
        <v>38</v>
      </c>
      <c r="G15" s="17">
        <v>66</v>
      </c>
      <c r="H15" s="17">
        <v>6</v>
      </c>
      <c r="I15" t="str">
        <f t="shared" si="0"/>
        <v>Wed|Snack</v>
      </c>
    </row>
    <row r="16" spans="1:9" ht="15" customHeight="1" x14ac:dyDescent="0.3">
      <c r="A16" s="18" t="s">
        <v>32</v>
      </c>
      <c r="B16" s="18" t="s">
        <v>10</v>
      </c>
      <c r="C16" s="18" t="s">
        <v>178</v>
      </c>
      <c r="D16" s="18" t="s">
        <v>196</v>
      </c>
      <c r="E16" s="19">
        <v>496</v>
      </c>
      <c r="F16" s="19">
        <v>40</v>
      </c>
      <c r="G16" s="19">
        <v>44</v>
      </c>
      <c r="H16" s="19">
        <v>10</v>
      </c>
      <c r="I16" t="str">
        <f t="shared" si="0"/>
        <v>Thu|Breakfast</v>
      </c>
    </row>
    <row r="17" spans="1:9" ht="15" customHeight="1" x14ac:dyDescent="0.3">
      <c r="A17" s="18" t="s">
        <v>32</v>
      </c>
      <c r="B17" s="18" t="s">
        <v>11</v>
      </c>
      <c r="C17" s="18" t="s">
        <v>197</v>
      </c>
      <c r="D17" s="18" t="s">
        <v>198</v>
      </c>
      <c r="E17" s="19">
        <v>554</v>
      </c>
      <c r="F17" s="19">
        <v>44</v>
      </c>
      <c r="G17" s="19">
        <v>42</v>
      </c>
      <c r="H17" s="19">
        <v>23</v>
      </c>
      <c r="I17" t="str">
        <f t="shared" si="0"/>
        <v>Thu|Lunch</v>
      </c>
    </row>
    <row r="18" spans="1:9" ht="15" customHeight="1" x14ac:dyDescent="0.3">
      <c r="A18" s="18" t="s">
        <v>32</v>
      </c>
      <c r="B18" s="18" t="s">
        <v>12</v>
      </c>
      <c r="C18" s="18" t="s">
        <v>71</v>
      </c>
      <c r="D18" s="18" t="s">
        <v>199</v>
      </c>
      <c r="E18" s="19">
        <v>589</v>
      </c>
      <c r="F18" s="19">
        <v>30</v>
      </c>
      <c r="G18" s="19">
        <v>67</v>
      </c>
      <c r="H18" s="19">
        <v>17</v>
      </c>
      <c r="I18" t="str">
        <f t="shared" si="0"/>
        <v>Thu|Dinner</v>
      </c>
    </row>
    <row r="19" spans="1:9" ht="15" customHeight="1" x14ac:dyDescent="0.3">
      <c r="A19" s="18" t="s">
        <v>32</v>
      </c>
      <c r="B19" s="18" t="s">
        <v>13</v>
      </c>
      <c r="C19" s="18" t="s">
        <v>200</v>
      </c>
      <c r="D19" s="18" t="s">
        <v>201</v>
      </c>
      <c r="E19" s="19">
        <v>381</v>
      </c>
      <c r="F19" s="19">
        <v>44</v>
      </c>
      <c r="G19" s="19">
        <v>32</v>
      </c>
      <c r="H19" s="19">
        <v>7</v>
      </c>
      <c r="I19" t="str">
        <f t="shared" si="0"/>
        <v>Thu|Snack</v>
      </c>
    </row>
    <row r="20" spans="1:9" ht="15" customHeight="1" x14ac:dyDescent="0.3">
      <c r="A20" s="16" t="s">
        <v>33</v>
      </c>
      <c r="B20" s="16" t="s">
        <v>10</v>
      </c>
      <c r="C20" s="16" t="s">
        <v>52</v>
      </c>
      <c r="D20" s="16" t="s">
        <v>190</v>
      </c>
      <c r="E20" s="17">
        <v>536</v>
      </c>
      <c r="F20" s="17">
        <v>28</v>
      </c>
      <c r="G20" s="17">
        <v>54</v>
      </c>
      <c r="H20" s="17">
        <v>20</v>
      </c>
      <c r="I20" t="str">
        <f t="shared" si="0"/>
        <v>Fri|Breakfast</v>
      </c>
    </row>
    <row r="21" spans="1:9" ht="15" customHeight="1" x14ac:dyDescent="0.3">
      <c r="A21" s="16" t="s">
        <v>33</v>
      </c>
      <c r="B21" s="16" t="s">
        <v>11</v>
      </c>
      <c r="C21" s="16" t="s">
        <v>191</v>
      </c>
      <c r="D21" s="16" t="s">
        <v>192</v>
      </c>
      <c r="E21" s="17">
        <v>741</v>
      </c>
      <c r="F21" s="17">
        <v>66</v>
      </c>
      <c r="G21" s="17">
        <v>79</v>
      </c>
      <c r="H21" s="17">
        <v>18</v>
      </c>
      <c r="I21" t="str">
        <f t="shared" si="0"/>
        <v>Fri|Lunch</v>
      </c>
    </row>
    <row r="22" spans="1:9" ht="15" customHeight="1" x14ac:dyDescent="0.3">
      <c r="A22" s="16" t="s">
        <v>33</v>
      </c>
      <c r="B22" s="16" t="s">
        <v>12</v>
      </c>
      <c r="C22" s="16" t="s">
        <v>101</v>
      </c>
      <c r="D22" s="16" t="s">
        <v>193</v>
      </c>
      <c r="E22" s="17">
        <v>741</v>
      </c>
      <c r="F22" s="17">
        <v>49</v>
      </c>
      <c r="G22" s="17">
        <v>57</v>
      </c>
      <c r="H22" s="17">
        <v>28</v>
      </c>
      <c r="I22" t="str">
        <f t="shared" si="0"/>
        <v>Fri|Dinner</v>
      </c>
    </row>
    <row r="23" spans="1:9" ht="15" customHeight="1" x14ac:dyDescent="0.3">
      <c r="A23" s="16" t="s">
        <v>33</v>
      </c>
      <c r="B23" s="16" t="s">
        <v>13</v>
      </c>
      <c r="C23" s="16" t="s">
        <v>194</v>
      </c>
      <c r="D23" s="16" t="s">
        <v>195</v>
      </c>
      <c r="E23" s="17">
        <v>472</v>
      </c>
      <c r="F23" s="17">
        <v>38</v>
      </c>
      <c r="G23" s="17">
        <v>66</v>
      </c>
      <c r="H23" s="17">
        <v>6</v>
      </c>
      <c r="I23" t="str">
        <f t="shared" si="0"/>
        <v>Fri|Snack</v>
      </c>
    </row>
    <row r="24" spans="1:9" ht="15" customHeight="1" x14ac:dyDescent="0.3">
      <c r="A24" s="18" t="s">
        <v>34</v>
      </c>
      <c r="B24" s="18" t="s">
        <v>10</v>
      </c>
      <c r="C24" s="18" t="s">
        <v>178</v>
      </c>
      <c r="D24" s="18" t="s">
        <v>196</v>
      </c>
      <c r="E24" s="19">
        <v>496</v>
      </c>
      <c r="F24" s="19">
        <v>40</v>
      </c>
      <c r="G24" s="19">
        <v>44</v>
      </c>
      <c r="H24" s="19">
        <v>10</v>
      </c>
      <c r="I24" t="str">
        <f t="shared" si="0"/>
        <v>Sat|Breakfast</v>
      </c>
    </row>
    <row r="25" spans="1:9" ht="15" customHeight="1" x14ac:dyDescent="0.3">
      <c r="A25" s="18" t="s">
        <v>34</v>
      </c>
      <c r="B25" s="18" t="s">
        <v>11</v>
      </c>
      <c r="C25" s="18" t="s">
        <v>197</v>
      </c>
      <c r="D25" s="18" t="s">
        <v>198</v>
      </c>
      <c r="E25" s="19">
        <v>554</v>
      </c>
      <c r="F25" s="19">
        <v>44</v>
      </c>
      <c r="G25" s="19">
        <v>42</v>
      </c>
      <c r="H25" s="19">
        <v>23</v>
      </c>
      <c r="I25" t="str">
        <f t="shared" si="0"/>
        <v>Sat|Lunch</v>
      </c>
    </row>
    <row r="26" spans="1:9" ht="15" customHeight="1" x14ac:dyDescent="0.3">
      <c r="A26" s="18" t="s">
        <v>34</v>
      </c>
      <c r="B26" s="18" t="s">
        <v>12</v>
      </c>
      <c r="C26" s="18" t="s">
        <v>71</v>
      </c>
      <c r="D26" s="18" t="s">
        <v>199</v>
      </c>
      <c r="E26" s="19">
        <v>589</v>
      </c>
      <c r="F26" s="19">
        <v>30</v>
      </c>
      <c r="G26" s="19">
        <v>67</v>
      </c>
      <c r="H26" s="19">
        <v>17</v>
      </c>
      <c r="I26" t="str">
        <f t="shared" si="0"/>
        <v>Sat|Dinner</v>
      </c>
    </row>
    <row r="27" spans="1:9" ht="15" customHeight="1" x14ac:dyDescent="0.3">
      <c r="A27" s="18" t="s">
        <v>34</v>
      </c>
      <c r="B27" s="18" t="s">
        <v>13</v>
      </c>
      <c r="C27" s="18" t="s">
        <v>200</v>
      </c>
      <c r="D27" s="18" t="s">
        <v>201</v>
      </c>
      <c r="E27" s="19">
        <v>381</v>
      </c>
      <c r="F27" s="19">
        <v>44</v>
      </c>
      <c r="G27" s="19">
        <v>32</v>
      </c>
      <c r="H27" s="19">
        <v>7</v>
      </c>
      <c r="I27" t="str">
        <f t="shared" si="0"/>
        <v>Sat|Snack</v>
      </c>
    </row>
    <row r="28" spans="1:9" ht="15" customHeight="1" x14ac:dyDescent="0.3">
      <c r="A28" s="16" t="s">
        <v>35</v>
      </c>
      <c r="B28" s="16" t="s">
        <v>10</v>
      </c>
      <c r="C28" s="16" t="s">
        <v>52</v>
      </c>
      <c r="D28" s="16" t="s">
        <v>190</v>
      </c>
      <c r="E28" s="17">
        <v>536</v>
      </c>
      <c r="F28" s="17">
        <v>28</v>
      </c>
      <c r="G28" s="17">
        <v>54</v>
      </c>
      <c r="H28" s="17">
        <v>20</v>
      </c>
      <c r="I28" t="str">
        <f t="shared" si="0"/>
        <v>Sun|Breakfast</v>
      </c>
    </row>
    <row r="29" spans="1:9" ht="15" customHeight="1" x14ac:dyDescent="0.3">
      <c r="A29" s="16" t="s">
        <v>35</v>
      </c>
      <c r="B29" s="16" t="s">
        <v>11</v>
      </c>
      <c r="C29" s="16" t="s">
        <v>191</v>
      </c>
      <c r="D29" s="16" t="s">
        <v>192</v>
      </c>
      <c r="E29" s="17">
        <v>741</v>
      </c>
      <c r="F29" s="17">
        <v>66</v>
      </c>
      <c r="G29" s="17">
        <v>79</v>
      </c>
      <c r="H29" s="17">
        <v>18</v>
      </c>
      <c r="I29" t="str">
        <f t="shared" si="0"/>
        <v>Sun|Lunch</v>
      </c>
    </row>
    <row r="30" spans="1:9" ht="15" customHeight="1" x14ac:dyDescent="0.3">
      <c r="A30" s="16" t="s">
        <v>35</v>
      </c>
      <c r="B30" s="16" t="s">
        <v>12</v>
      </c>
      <c r="C30" s="16" t="s">
        <v>101</v>
      </c>
      <c r="D30" s="16" t="s">
        <v>193</v>
      </c>
      <c r="E30" s="17">
        <v>741</v>
      </c>
      <c r="F30" s="17">
        <v>49</v>
      </c>
      <c r="G30" s="17">
        <v>57</v>
      </c>
      <c r="H30" s="17">
        <v>28</v>
      </c>
      <c r="I30" t="str">
        <f t="shared" si="0"/>
        <v>Sun|Dinner</v>
      </c>
    </row>
    <row r="31" spans="1:9" ht="15" customHeight="1" x14ac:dyDescent="0.3">
      <c r="A31" s="16" t="s">
        <v>35</v>
      </c>
      <c r="B31" s="16" t="s">
        <v>13</v>
      </c>
      <c r="C31" s="16" t="s">
        <v>194</v>
      </c>
      <c r="D31" s="16" t="s">
        <v>195</v>
      </c>
      <c r="E31" s="17">
        <v>472</v>
      </c>
      <c r="F31" s="17">
        <v>38</v>
      </c>
      <c r="G31" s="17">
        <v>66</v>
      </c>
      <c r="H31" s="17">
        <v>6</v>
      </c>
      <c r="I31" t="str">
        <f t="shared" si="0"/>
        <v>Sun|Snack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D30"/>
  <sheetViews>
    <sheetView showGridLines="0" zoomScaleNormal="100" workbookViewId="0">
      <selection activeCell="A2" sqref="A2:D2"/>
    </sheetView>
  </sheetViews>
  <sheetFormatPr defaultColWidth="8.6640625" defaultRowHeight="14.4" x14ac:dyDescent="0.3"/>
  <cols>
    <col min="1" max="1" width="14" customWidth="1"/>
    <col min="2" max="3" width="13" customWidth="1"/>
    <col min="4" max="4" width="30" customWidth="1"/>
  </cols>
  <sheetData>
    <row r="1" spans="1:4" ht="18" customHeight="1" x14ac:dyDescent="0.35">
      <c r="A1" s="36" t="s">
        <v>36</v>
      </c>
      <c r="B1" s="36"/>
      <c r="C1" s="36"/>
      <c r="D1" s="36"/>
    </row>
    <row r="2" spans="1:4" ht="15" customHeight="1" x14ac:dyDescent="0.3">
      <c r="A2" s="43" t="s">
        <v>37</v>
      </c>
      <c r="B2" s="43"/>
      <c r="C2" s="43"/>
      <c r="D2" s="43"/>
    </row>
    <row r="3" spans="1:4" ht="15" customHeight="1" x14ac:dyDescent="0.3">
      <c r="A3" s="15" t="s">
        <v>38</v>
      </c>
      <c r="B3" s="15" t="s">
        <v>39</v>
      </c>
      <c r="C3" s="15" t="s">
        <v>40</v>
      </c>
      <c r="D3" s="15" t="s">
        <v>41</v>
      </c>
    </row>
    <row r="4" spans="1:4" ht="15" customHeight="1" x14ac:dyDescent="0.3">
      <c r="A4" s="20">
        <v>46271</v>
      </c>
      <c r="B4" s="21">
        <v>88.6</v>
      </c>
      <c r="C4" s="17"/>
      <c r="D4" s="22"/>
    </row>
    <row r="5" spans="1:4" ht="15" customHeight="1" x14ac:dyDescent="0.3">
      <c r="A5" s="20">
        <v>46278</v>
      </c>
      <c r="B5" s="21">
        <v>88.2</v>
      </c>
      <c r="C5" s="23">
        <f t="shared" ref="C5:C30" si="0">IF(AND(B5&lt;&gt;"",B4&lt;&gt;""),B5-B4,"")</f>
        <v>-0.39999999999999147</v>
      </c>
      <c r="D5" s="22"/>
    </row>
    <row r="6" spans="1:4" ht="15" customHeight="1" x14ac:dyDescent="0.3">
      <c r="A6" s="20">
        <v>46285</v>
      </c>
      <c r="B6" s="21">
        <v>88.4</v>
      </c>
      <c r="C6" s="23">
        <f t="shared" si="0"/>
        <v>0.20000000000000284</v>
      </c>
      <c r="D6" s="22"/>
    </row>
    <row r="7" spans="1:4" ht="15" customHeight="1" x14ac:dyDescent="0.3">
      <c r="A7" s="20">
        <v>46292</v>
      </c>
      <c r="B7" s="21">
        <v>87.9</v>
      </c>
      <c r="C7" s="23">
        <f t="shared" si="0"/>
        <v>-0.5</v>
      </c>
      <c r="D7" s="22"/>
    </row>
    <row r="8" spans="1:4" ht="15" customHeight="1" x14ac:dyDescent="0.3">
      <c r="A8" s="20">
        <v>46299</v>
      </c>
      <c r="B8" s="21">
        <v>87.6</v>
      </c>
      <c r="C8" s="23">
        <f t="shared" si="0"/>
        <v>-0.30000000000001137</v>
      </c>
      <c r="D8" s="22"/>
    </row>
    <row r="9" spans="1:4" ht="15" customHeight="1" x14ac:dyDescent="0.3">
      <c r="A9" s="20">
        <v>46306</v>
      </c>
      <c r="B9" s="21">
        <v>87.7</v>
      </c>
      <c r="C9" s="23">
        <f t="shared" si="0"/>
        <v>0.10000000000000853</v>
      </c>
      <c r="D9" s="22"/>
    </row>
    <row r="10" spans="1:4" ht="15" customHeight="1" x14ac:dyDescent="0.3">
      <c r="A10" s="20">
        <v>46313</v>
      </c>
      <c r="B10" s="21">
        <v>87.2</v>
      </c>
      <c r="C10" s="23">
        <f t="shared" si="0"/>
        <v>-0.5</v>
      </c>
      <c r="D10" s="22"/>
    </row>
    <row r="11" spans="1:4" ht="15" customHeight="1" x14ac:dyDescent="0.3">
      <c r="A11" s="20">
        <v>46320</v>
      </c>
      <c r="B11" s="21">
        <v>87</v>
      </c>
      <c r="C11" s="23">
        <f t="shared" si="0"/>
        <v>-0.20000000000000284</v>
      </c>
      <c r="D11" s="22"/>
    </row>
    <row r="12" spans="1:4" ht="15" customHeight="1" x14ac:dyDescent="0.3">
      <c r="A12" s="17"/>
      <c r="B12" s="21"/>
      <c r="C12" s="23" t="str">
        <f t="shared" si="0"/>
        <v/>
      </c>
      <c r="D12" s="22"/>
    </row>
    <row r="13" spans="1:4" ht="15" customHeight="1" x14ac:dyDescent="0.3">
      <c r="A13" s="17"/>
      <c r="B13" s="21"/>
      <c r="C13" s="23" t="str">
        <f t="shared" si="0"/>
        <v/>
      </c>
      <c r="D13" s="22"/>
    </row>
    <row r="14" spans="1:4" ht="15" customHeight="1" x14ac:dyDescent="0.3">
      <c r="A14" s="17"/>
      <c r="B14" s="21"/>
      <c r="C14" s="23" t="str">
        <f t="shared" si="0"/>
        <v/>
      </c>
      <c r="D14" s="22"/>
    </row>
    <row r="15" spans="1:4" ht="15" customHeight="1" x14ac:dyDescent="0.3">
      <c r="A15" s="17"/>
      <c r="B15" s="21"/>
      <c r="C15" s="23" t="str">
        <f t="shared" si="0"/>
        <v/>
      </c>
      <c r="D15" s="22"/>
    </row>
    <row r="16" spans="1:4" ht="15" customHeight="1" x14ac:dyDescent="0.3">
      <c r="A16" s="17"/>
      <c r="B16" s="21"/>
      <c r="C16" s="23" t="str">
        <f t="shared" si="0"/>
        <v/>
      </c>
      <c r="D16" s="22"/>
    </row>
    <row r="17" spans="1:4" ht="15" customHeight="1" x14ac:dyDescent="0.3">
      <c r="A17" s="17"/>
      <c r="B17" s="21"/>
      <c r="C17" s="23" t="str">
        <f t="shared" si="0"/>
        <v/>
      </c>
      <c r="D17" s="22"/>
    </row>
    <row r="18" spans="1:4" ht="15" customHeight="1" x14ac:dyDescent="0.3">
      <c r="A18" s="17"/>
      <c r="B18" s="21"/>
      <c r="C18" s="23" t="str">
        <f t="shared" si="0"/>
        <v/>
      </c>
      <c r="D18" s="22"/>
    </row>
    <row r="19" spans="1:4" ht="15" customHeight="1" x14ac:dyDescent="0.3">
      <c r="A19" s="17"/>
      <c r="B19" s="21"/>
      <c r="C19" s="23" t="str">
        <f t="shared" si="0"/>
        <v/>
      </c>
      <c r="D19" s="22"/>
    </row>
    <row r="20" spans="1:4" ht="15" customHeight="1" x14ac:dyDescent="0.3">
      <c r="A20" s="17"/>
      <c r="B20" s="21"/>
      <c r="C20" s="23" t="str">
        <f t="shared" si="0"/>
        <v/>
      </c>
      <c r="D20" s="22"/>
    </row>
    <row r="21" spans="1:4" ht="15" customHeight="1" x14ac:dyDescent="0.3">
      <c r="A21" s="17"/>
      <c r="B21" s="21"/>
      <c r="C21" s="23" t="str">
        <f t="shared" si="0"/>
        <v/>
      </c>
      <c r="D21" s="22"/>
    </row>
    <row r="22" spans="1:4" ht="15" customHeight="1" x14ac:dyDescent="0.3">
      <c r="A22" s="17"/>
      <c r="B22" s="21"/>
      <c r="C22" s="23" t="str">
        <f t="shared" si="0"/>
        <v/>
      </c>
      <c r="D22" s="22"/>
    </row>
    <row r="23" spans="1:4" ht="15" customHeight="1" x14ac:dyDescent="0.3">
      <c r="A23" s="17"/>
      <c r="B23" s="21"/>
      <c r="C23" s="23" t="str">
        <f t="shared" si="0"/>
        <v/>
      </c>
      <c r="D23" s="22"/>
    </row>
    <row r="24" spans="1:4" ht="15" customHeight="1" x14ac:dyDescent="0.3">
      <c r="A24" s="17"/>
      <c r="B24" s="21"/>
      <c r="C24" s="23" t="str">
        <f t="shared" si="0"/>
        <v/>
      </c>
      <c r="D24" s="22"/>
    </row>
    <row r="25" spans="1:4" ht="15" customHeight="1" x14ac:dyDescent="0.3">
      <c r="A25" s="17"/>
      <c r="B25" s="21"/>
      <c r="C25" s="23" t="str">
        <f t="shared" si="0"/>
        <v/>
      </c>
      <c r="D25" s="22"/>
    </row>
    <row r="26" spans="1:4" ht="15" customHeight="1" x14ac:dyDescent="0.3">
      <c r="A26" s="17"/>
      <c r="B26" s="21"/>
      <c r="C26" s="23" t="str">
        <f t="shared" si="0"/>
        <v/>
      </c>
      <c r="D26" s="22"/>
    </row>
    <row r="27" spans="1:4" ht="15" customHeight="1" x14ac:dyDescent="0.3">
      <c r="A27" s="17"/>
      <c r="B27" s="21"/>
      <c r="C27" s="23" t="str">
        <f t="shared" si="0"/>
        <v/>
      </c>
      <c r="D27" s="22"/>
    </row>
    <row r="28" spans="1:4" ht="15" customHeight="1" x14ac:dyDescent="0.3">
      <c r="A28" s="17"/>
      <c r="B28" s="21"/>
      <c r="C28" s="23" t="str">
        <f t="shared" si="0"/>
        <v/>
      </c>
      <c r="D28" s="22"/>
    </row>
    <row r="29" spans="1:4" ht="15" customHeight="1" x14ac:dyDescent="0.3">
      <c r="A29" s="17"/>
      <c r="B29" s="21"/>
      <c r="C29" s="23" t="str">
        <f t="shared" si="0"/>
        <v/>
      </c>
      <c r="D29" s="22"/>
    </row>
    <row r="30" spans="1:4" ht="15" customHeight="1" x14ac:dyDescent="0.3">
      <c r="A30" s="17"/>
      <c r="B30" s="21"/>
      <c r="C30" s="23" t="str">
        <f t="shared" si="0"/>
        <v/>
      </c>
      <c r="D30" s="22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D9D9"/>
  </sheetPr>
  <dimension ref="A1:D120"/>
  <sheetViews>
    <sheetView showGridLines="0" zoomScaleNormal="100" workbookViewId="0">
      <selection activeCell="A4" sqref="A4:A16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" customWidth="1"/>
    <col min="4" max="4" width="9" customWidth="1"/>
  </cols>
  <sheetData>
    <row r="1" spans="1:4" ht="18" customHeight="1" x14ac:dyDescent="0.35">
      <c r="A1" s="36" t="s">
        <v>42</v>
      </c>
      <c r="B1" s="36"/>
      <c r="C1" s="36"/>
      <c r="D1" s="36"/>
    </row>
    <row r="2" spans="1:4" ht="15" customHeight="1" x14ac:dyDescent="0.3">
      <c r="A2" s="43" t="s">
        <v>43</v>
      </c>
      <c r="B2" s="43"/>
      <c r="C2" s="43"/>
      <c r="D2" s="43"/>
    </row>
    <row r="3" spans="1:4" ht="15" customHeight="1" x14ac:dyDescent="0.3">
      <c r="A3" s="15" t="s">
        <v>44</v>
      </c>
      <c r="B3" s="15" t="s">
        <v>45</v>
      </c>
      <c r="C3" s="15" t="s">
        <v>46</v>
      </c>
      <c r="D3" s="15" t="s">
        <v>47</v>
      </c>
    </row>
    <row r="4" spans="1:4" ht="15" customHeight="1" x14ac:dyDescent="0.3">
      <c r="A4" s="44" t="s">
        <v>48</v>
      </c>
      <c r="B4" s="16" t="s">
        <v>202</v>
      </c>
      <c r="C4" s="24" t="s">
        <v>203</v>
      </c>
      <c r="D4" s="25"/>
    </row>
    <row r="5" spans="1:4" ht="15" customHeight="1" x14ac:dyDescent="0.3">
      <c r="A5" s="44" t="s">
        <v>48</v>
      </c>
      <c r="B5" s="16" t="s">
        <v>204</v>
      </c>
      <c r="C5" s="24" t="s">
        <v>205</v>
      </c>
      <c r="D5" s="25"/>
    </row>
    <row r="6" spans="1:4" ht="15" customHeight="1" x14ac:dyDescent="0.3">
      <c r="A6" s="44" t="s">
        <v>48</v>
      </c>
      <c r="B6" s="16" t="s">
        <v>75</v>
      </c>
      <c r="C6" s="24" t="s">
        <v>205</v>
      </c>
      <c r="D6" s="25"/>
    </row>
    <row r="7" spans="1:4" ht="15" customHeight="1" x14ac:dyDescent="0.3">
      <c r="A7" s="44" t="s">
        <v>48</v>
      </c>
      <c r="B7" s="16" t="s">
        <v>59</v>
      </c>
      <c r="C7" s="24" t="s">
        <v>206</v>
      </c>
      <c r="D7" s="25"/>
    </row>
    <row r="8" spans="1:4" ht="15" customHeight="1" x14ac:dyDescent="0.3">
      <c r="A8" s="44" t="s">
        <v>48</v>
      </c>
      <c r="B8" s="16" t="s">
        <v>207</v>
      </c>
      <c r="C8" s="24" t="s">
        <v>206</v>
      </c>
      <c r="D8" s="25"/>
    </row>
    <row r="9" spans="1:4" ht="15" customHeight="1" x14ac:dyDescent="0.3">
      <c r="A9" s="44" t="s">
        <v>48</v>
      </c>
      <c r="B9" s="16" t="s">
        <v>107</v>
      </c>
      <c r="C9" s="24" t="s">
        <v>206</v>
      </c>
      <c r="D9" s="25"/>
    </row>
    <row r="10" spans="1:4" ht="15" customHeight="1" x14ac:dyDescent="0.3">
      <c r="A10" s="44" t="s">
        <v>48</v>
      </c>
      <c r="B10" s="16" t="s">
        <v>208</v>
      </c>
      <c r="C10" s="24" t="s">
        <v>209</v>
      </c>
      <c r="D10" s="25"/>
    </row>
    <row r="11" spans="1:4" ht="15" customHeight="1" x14ac:dyDescent="0.3">
      <c r="A11" s="44" t="s">
        <v>48</v>
      </c>
      <c r="B11" s="16" t="s">
        <v>79</v>
      </c>
      <c r="C11" s="24" t="s">
        <v>210</v>
      </c>
      <c r="D11" s="25"/>
    </row>
    <row r="12" spans="1:4" ht="15" customHeight="1" x14ac:dyDescent="0.3">
      <c r="A12" s="44" t="s">
        <v>16</v>
      </c>
      <c r="B12" s="16" t="s">
        <v>105</v>
      </c>
      <c r="C12" s="24" t="s">
        <v>211</v>
      </c>
      <c r="D12" s="25"/>
    </row>
    <row r="13" spans="1:4" ht="15" customHeight="1" x14ac:dyDescent="0.3">
      <c r="A13" s="44" t="s">
        <v>16</v>
      </c>
      <c r="B13" s="16" t="s">
        <v>212</v>
      </c>
      <c r="C13" s="24" t="s">
        <v>213</v>
      </c>
      <c r="D13" s="25"/>
    </row>
    <row r="14" spans="1:4" ht="15" customHeight="1" x14ac:dyDescent="0.3">
      <c r="A14" s="44" t="s">
        <v>16</v>
      </c>
      <c r="B14" s="16" t="s">
        <v>73</v>
      </c>
      <c r="C14" s="24" t="s">
        <v>209</v>
      </c>
      <c r="D14" s="25"/>
    </row>
    <row r="15" spans="1:4" ht="15" customHeight="1" x14ac:dyDescent="0.3">
      <c r="A15" s="44" t="s">
        <v>16</v>
      </c>
      <c r="B15" s="16" t="s">
        <v>74</v>
      </c>
      <c r="C15" s="24" t="s">
        <v>209</v>
      </c>
      <c r="D15" s="25"/>
    </row>
    <row r="16" spans="1:4" ht="15" customHeight="1" x14ac:dyDescent="0.3">
      <c r="A16" s="44" t="s">
        <v>16</v>
      </c>
      <c r="B16" s="16" t="s">
        <v>61</v>
      </c>
      <c r="C16" s="24" t="s">
        <v>214</v>
      </c>
      <c r="D16" s="25"/>
    </row>
    <row r="17" spans="1:3" x14ac:dyDescent="0.3">
      <c r="A17" t="s">
        <v>16</v>
      </c>
      <c r="B17" t="s">
        <v>183</v>
      </c>
      <c r="C17" t="s">
        <v>215</v>
      </c>
    </row>
    <row r="18" spans="1:3" x14ac:dyDescent="0.3">
      <c r="A18" t="s">
        <v>16</v>
      </c>
      <c r="B18" t="s">
        <v>216</v>
      </c>
      <c r="C18" t="s">
        <v>210</v>
      </c>
    </row>
    <row r="19" spans="1:3" x14ac:dyDescent="0.3">
      <c r="A19" t="s">
        <v>49</v>
      </c>
      <c r="B19" t="s">
        <v>217</v>
      </c>
      <c r="C19" t="s">
        <v>218</v>
      </c>
    </row>
    <row r="20" spans="1:3" x14ac:dyDescent="0.3">
      <c r="A20" t="s">
        <v>49</v>
      </c>
      <c r="B20" t="s">
        <v>219</v>
      </c>
      <c r="C20" t="s">
        <v>220</v>
      </c>
    </row>
    <row r="21" spans="1:3" x14ac:dyDescent="0.3">
      <c r="A21" t="s">
        <v>49</v>
      </c>
      <c r="B21" t="s">
        <v>184</v>
      </c>
      <c r="C21" t="s">
        <v>209</v>
      </c>
    </row>
    <row r="22" spans="1:3" x14ac:dyDescent="0.3">
      <c r="A22" t="s">
        <v>49</v>
      </c>
      <c r="B22" t="s">
        <v>77</v>
      </c>
      <c r="C22" t="s">
        <v>215</v>
      </c>
    </row>
    <row r="23" spans="1:3" x14ac:dyDescent="0.3">
      <c r="A23" t="s">
        <v>221</v>
      </c>
      <c r="B23" t="s">
        <v>222</v>
      </c>
      <c r="C23" t="s">
        <v>223</v>
      </c>
    </row>
    <row r="24" spans="1:3" x14ac:dyDescent="0.3">
      <c r="A24" t="s">
        <v>221</v>
      </c>
      <c r="B24" t="s">
        <v>55</v>
      </c>
      <c r="C24" t="s">
        <v>224</v>
      </c>
    </row>
    <row r="25" spans="1:3" x14ac:dyDescent="0.3">
      <c r="A25" t="s">
        <v>221</v>
      </c>
      <c r="B25" t="s">
        <v>103</v>
      </c>
      <c r="C25" t="s">
        <v>225</v>
      </c>
    </row>
    <row r="26" spans="1:3" x14ac:dyDescent="0.3">
      <c r="A26" t="s">
        <v>221</v>
      </c>
      <c r="B26" t="s">
        <v>180</v>
      </c>
      <c r="C26" t="s">
        <v>226</v>
      </c>
    </row>
    <row r="27" spans="1:3" x14ac:dyDescent="0.3">
      <c r="A27" t="s">
        <v>227</v>
      </c>
      <c r="B27" t="s">
        <v>57</v>
      </c>
      <c r="C27" t="s">
        <v>228</v>
      </c>
    </row>
    <row r="28" spans="1:3" x14ac:dyDescent="0.3">
      <c r="A28" t="s">
        <v>227</v>
      </c>
      <c r="B28" t="s">
        <v>63</v>
      </c>
      <c r="C28" t="s">
        <v>229</v>
      </c>
    </row>
    <row r="29" spans="1:3" x14ac:dyDescent="0.3">
      <c r="A29" t="s">
        <v>227</v>
      </c>
      <c r="B29" t="s">
        <v>158</v>
      </c>
      <c r="C29" t="s">
        <v>230</v>
      </c>
    </row>
    <row r="30" spans="1:3" x14ac:dyDescent="0.3">
      <c r="A30" t="s">
        <v>227</v>
      </c>
      <c r="B30" t="s">
        <v>231</v>
      </c>
      <c r="C30" t="s">
        <v>232</v>
      </c>
    </row>
    <row r="31" spans="1:3" x14ac:dyDescent="0.3">
      <c r="A31" t="s">
        <v>233</v>
      </c>
      <c r="B31" t="s">
        <v>108</v>
      </c>
      <c r="C31" t="s">
        <v>234</v>
      </c>
    </row>
    <row r="32" spans="1:3" x14ac:dyDescent="0.3">
      <c r="A32" t="s">
        <v>233</v>
      </c>
      <c r="B32" t="s">
        <v>235</v>
      </c>
      <c r="C32" t="s">
        <v>236</v>
      </c>
    </row>
    <row r="33" spans="1:3" x14ac:dyDescent="0.3">
      <c r="A33" t="s">
        <v>237</v>
      </c>
      <c r="B33" t="s">
        <v>237</v>
      </c>
      <c r="C33" t="s">
        <v>237</v>
      </c>
    </row>
    <row r="34" spans="1:3" x14ac:dyDescent="0.3">
      <c r="A34" t="s">
        <v>237</v>
      </c>
      <c r="B34" t="s">
        <v>237</v>
      </c>
      <c r="C34" t="s">
        <v>237</v>
      </c>
    </row>
    <row r="35" spans="1:3" x14ac:dyDescent="0.3">
      <c r="A35" t="s">
        <v>237</v>
      </c>
      <c r="B35" t="s">
        <v>237</v>
      </c>
      <c r="C35" t="s">
        <v>237</v>
      </c>
    </row>
    <row r="36" spans="1:3" x14ac:dyDescent="0.3">
      <c r="A36" t="s">
        <v>237</v>
      </c>
      <c r="B36" t="s">
        <v>237</v>
      </c>
      <c r="C36" t="s">
        <v>237</v>
      </c>
    </row>
    <row r="37" spans="1:3" x14ac:dyDescent="0.3">
      <c r="A37" t="s">
        <v>237</v>
      </c>
      <c r="B37" t="s">
        <v>237</v>
      </c>
      <c r="C37" t="s">
        <v>237</v>
      </c>
    </row>
    <row r="38" spans="1:3" x14ac:dyDescent="0.3">
      <c r="A38" t="s">
        <v>237</v>
      </c>
      <c r="B38" t="s">
        <v>237</v>
      </c>
      <c r="C38" t="s">
        <v>237</v>
      </c>
    </row>
    <row r="39" spans="1:3" x14ac:dyDescent="0.3">
      <c r="A39" t="s">
        <v>237</v>
      </c>
      <c r="B39" t="s">
        <v>237</v>
      </c>
      <c r="C39" t="s">
        <v>237</v>
      </c>
    </row>
    <row r="40" spans="1:3" x14ac:dyDescent="0.3">
      <c r="A40" t="s">
        <v>237</v>
      </c>
      <c r="B40" t="s">
        <v>237</v>
      </c>
      <c r="C40" t="s">
        <v>237</v>
      </c>
    </row>
    <row r="41" spans="1:3" x14ac:dyDescent="0.3">
      <c r="A41" t="s">
        <v>237</v>
      </c>
      <c r="B41" t="s">
        <v>237</v>
      </c>
      <c r="C41" t="s">
        <v>237</v>
      </c>
    </row>
    <row r="42" spans="1:3" x14ac:dyDescent="0.3">
      <c r="A42" t="s">
        <v>237</v>
      </c>
      <c r="B42" t="s">
        <v>237</v>
      </c>
      <c r="C42" t="s">
        <v>237</v>
      </c>
    </row>
    <row r="43" spans="1:3" x14ac:dyDescent="0.3">
      <c r="A43" t="s">
        <v>237</v>
      </c>
      <c r="B43" t="s">
        <v>237</v>
      </c>
      <c r="C43" t="s">
        <v>237</v>
      </c>
    </row>
    <row r="44" spans="1:3" x14ac:dyDescent="0.3">
      <c r="A44" t="s">
        <v>237</v>
      </c>
      <c r="B44" t="s">
        <v>237</v>
      </c>
      <c r="C44" t="s">
        <v>237</v>
      </c>
    </row>
    <row r="45" spans="1:3" x14ac:dyDescent="0.3">
      <c r="A45" t="s">
        <v>237</v>
      </c>
      <c r="B45" t="s">
        <v>237</v>
      </c>
      <c r="C45" t="s">
        <v>237</v>
      </c>
    </row>
    <row r="46" spans="1:3" x14ac:dyDescent="0.3">
      <c r="A46" t="s">
        <v>237</v>
      </c>
      <c r="B46" t="s">
        <v>237</v>
      </c>
      <c r="C46" t="s">
        <v>237</v>
      </c>
    </row>
    <row r="47" spans="1:3" x14ac:dyDescent="0.3">
      <c r="A47" t="s">
        <v>237</v>
      </c>
      <c r="B47" t="s">
        <v>237</v>
      </c>
      <c r="C47" t="s">
        <v>237</v>
      </c>
    </row>
    <row r="48" spans="1:3" x14ac:dyDescent="0.3">
      <c r="A48" t="s">
        <v>237</v>
      </c>
      <c r="B48" t="s">
        <v>237</v>
      </c>
      <c r="C48" t="s">
        <v>237</v>
      </c>
    </row>
    <row r="49" spans="1:3" x14ac:dyDescent="0.3">
      <c r="A49" t="s">
        <v>237</v>
      </c>
      <c r="B49" t="s">
        <v>237</v>
      </c>
      <c r="C49" t="s">
        <v>237</v>
      </c>
    </row>
    <row r="50" spans="1:3" x14ac:dyDescent="0.3">
      <c r="A50" t="s">
        <v>237</v>
      </c>
      <c r="B50" t="s">
        <v>237</v>
      </c>
      <c r="C50" t="s">
        <v>237</v>
      </c>
    </row>
    <row r="51" spans="1:3" x14ac:dyDescent="0.3">
      <c r="A51" t="s">
        <v>237</v>
      </c>
      <c r="B51" t="s">
        <v>237</v>
      </c>
      <c r="C51" t="s">
        <v>237</v>
      </c>
    </row>
    <row r="52" spans="1:3" x14ac:dyDescent="0.3">
      <c r="A52" t="s">
        <v>237</v>
      </c>
      <c r="B52" t="s">
        <v>237</v>
      </c>
      <c r="C52" t="s">
        <v>237</v>
      </c>
    </row>
    <row r="53" spans="1:3" x14ac:dyDescent="0.3">
      <c r="A53" t="s">
        <v>237</v>
      </c>
      <c r="B53" t="s">
        <v>237</v>
      </c>
      <c r="C53" t="s">
        <v>237</v>
      </c>
    </row>
    <row r="54" spans="1:3" x14ac:dyDescent="0.3">
      <c r="A54" t="s">
        <v>237</v>
      </c>
      <c r="B54" t="s">
        <v>237</v>
      </c>
      <c r="C54" t="s">
        <v>237</v>
      </c>
    </row>
    <row r="55" spans="1:3" x14ac:dyDescent="0.3">
      <c r="A55" t="s">
        <v>237</v>
      </c>
      <c r="B55" t="s">
        <v>237</v>
      </c>
      <c r="C55" t="s">
        <v>237</v>
      </c>
    </row>
    <row r="56" spans="1:3" x14ac:dyDescent="0.3">
      <c r="A56" t="s">
        <v>237</v>
      </c>
      <c r="B56" t="s">
        <v>237</v>
      </c>
      <c r="C56" t="s">
        <v>237</v>
      </c>
    </row>
    <row r="57" spans="1:3" x14ac:dyDescent="0.3">
      <c r="A57" t="s">
        <v>237</v>
      </c>
      <c r="B57" t="s">
        <v>237</v>
      </c>
      <c r="C57" t="s">
        <v>237</v>
      </c>
    </row>
    <row r="58" spans="1:3" x14ac:dyDescent="0.3">
      <c r="A58" t="s">
        <v>237</v>
      </c>
      <c r="B58" t="s">
        <v>237</v>
      </c>
      <c r="C58" t="s">
        <v>237</v>
      </c>
    </row>
    <row r="59" spans="1:3" x14ac:dyDescent="0.3">
      <c r="A59" t="s">
        <v>237</v>
      </c>
      <c r="B59" t="s">
        <v>237</v>
      </c>
      <c r="C59" t="s">
        <v>237</v>
      </c>
    </row>
    <row r="60" spans="1:3" x14ac:dyDescent="0.3">
      <c r="A60" t="s">
        <v>237</v>
      </c>
      <c r="B60" t="s">
        <v>237</v>
      </c>
      <c r="C60" t="s">
        <v>237</v>
      </c>
    </row>
    <row r="61" spans="1:3" x14ac:dyDescent="0.3">
      <c r="A61" t="s">
        <v>237</v>
      </c>
      <c r="B61" t="s">
        <v>237</v>
      </c>
      <c r="C61" t="s">
        <v>237</v>
      </c>
    </row>
    <row r="62" spans="1:3" x14ac:dyDescent="0.3">
      <c r="A62" t="s">
        <v>237</v>
      </c>
      <c r="B62" t="s">
        <v>237</v>
      </c>
      <c r="C62" t="s">
        <v>237</v>
      </c>
    </row>
    <row r="63" spans="1:3" x14ac:dyDescent="0.3">
      <c r="A63" t="s">
        <v>237</v>
      </c>
      <c r="B63" t="s">
        <v>237</v>
      </c>
      <c r="C63" t="s">
        <v>237</v>
      </c>
    </row>
    <row r="64" spans="1:3" x14ac:dyDescent="0.3">
      <c r="A64" t="s">
        <v>237</v>
      </c>
      <c r="B64" t="s">
        <v>237</v>
      </c>
      <c r="C64" t="s">
        <v>237</v>
      </c>
    </row>
    <row r="65" spans="1:3" x14ac:dyDescent="0.3">
      <c r="A65" t="s">
        <v>237</v>
      </c>
      <c r="B65" t="s">
        <v>237</v>
      </c>
      <c r="C65" t="s">
        <v>237</v>
      </c>
    </row>
    <row r="66" spans="1:3" x14ac:dyDescent="0.3">
      <c r="A66" t="s">
        <v>237</v>
      </c>
      <c r="B66" t="s">
        <v>237</v>
      </c>
      <c r="C66" t="s">
        <v>237</v>
      </c>
    </row>
    <row r="67" spans="1:3" x14ac:dyDescent="0.3">
      <c r="A67" t="s">
        <v>237</v>
      </c>
      <c r="B67" t="s">
        <v>237</v>
      </c>
      <c r="C67" t="s">
        <v>237</v>
      </c>
    </row>
    <row r="68" spans="1:3" x14ac:dyDescent="0.3">
      <c r="A68" t="s">
        <v>237</v>
      </c>
      <c r="B68" t="s">
        <v>237</v>
      </c>
      <c r="C68" t="s">
        <v>237</v>
      </c>
    </row>
    <row r="69" spans="1:3" x14ac:dyDescent="0.3">
      <c r="A69" t="s">
        <v>237</v>
      </c>
      <c r="B69" t="s">
        <v>237</v>
      </c>
      <c r="C69" t="s">
        <v>237</v>
      </c>
    </row>
    <row r="70" spans="1:3" x14ac:dyDescent="0.3">
      <c r="A70" t="s">
        <v>237</v>
      </c>
      <c r="B70" t="s">
        <v>237</v>
      </c>
      <c r="C70" t="s">
        <v>237</v>
      </c>
    </row>
    <row r="71" spans="1:3" x14ac:dyDescent="0.3">
      <c r="A71" t="s">
        <v>237</v>
      </c>
      <c r="B71" t="s">
        <v>237</v>
      </c>
      <c r="C71" t="s">
        <v>237</v>
      </c>
    </row>
    <row r="72" spans="1:3" x14ac:dyDescent="0.3">
      <c r="A72" t="s">
        <v>237</v>
      </c>
      <c r="B72" t="s">
        <v>237</v>
      </c>
      <c r="C72" t="s">
        <v>237</v>
      </c>
    </row>
    <row r="73" spans="1:3" x14ac:dyDescent="0.3">
      <c r="A73" t="s">
        <v>237</v>
      </c>
      <c r="B73" t="s">
        <v>237</v>
      </c>
      <c r="C73" t="s">
        <v>237</v>
      </c>
    </row>
    <row r="74" spans="1:3" x14ac:dyDescent="0.3">
      <c r="A74" t="s">
        <v>237</v>
      </c>
      <c r="B74" t="s">
        <v>237</v>
      </c>
      <c r="C74" t="s">
        <v>237</v>
      </c>
    </row>
    <row r="75" spans="1:3" x14ac:dyDescent="0.3">
      <c r="A75" t="s">
        <v>237</v>
      </c>
      <c r="B75" t="s">
        <v>237</v>
      </c>
      <c r="C75" t="s">
        <v>237</v>
      </c>
    </row>
    <row r="76" spans="1:3" x14ac:dyDescent="0.3">
      <c r="A76" t="s">
        <v>237</v>
      </c>
      <c r="B76" t="s">
        <v>237</v>
      </c>
      <c r="C76" t="s">
        <v>237</v>
      </c>
    </row>
    <row r="77" spans="1:3" x14ac:dyDescent="0.3">
      <c r="A77" t="s">
        <v>237</v>
      </c>
      <c r="B77" t="s">
        <v>237</v>
      </c>
      <c r="C77" t="s">
        <v>237</v>
      </c>
    </row>
    <row r="78" spans="1:3" x14ac:dyDescent="0.3">
      <c r="A78" t="s">
        <v>237</v>
      </c>
      <c r="B78" t="s">
        <v>237</v>
      </c>
      <c r="C78" t="s">
        <v>237</v>
      </c>
    </row>
    <row r="79" spans="1:3" x14ac:dyDescent="0.3">
      <c r="A79" t="s">
        <v>237</v>
      </c>
      <c r="B79" t="s">
        <v>237</v>
      </c>
      <c r="C79" t="s">
        <v>237</v>
      </c>
    </row>
    <row r="80" spans="1:3" x14ac:dyDescent="0.3">
      <c r="A80" t="s">
        <v>237</v>
      </c>
      <c r="B80" t="s">
        <v>237</v>
      </c>
      <c r="C80" t="s">
        <v>237</v>
      </c>
    </row>
    <row r="81" spans="1:3" x14ac:dyDescent="0.3">
      <c r="A81" t="s">
        <v>237</v>
      </c>
      <c r="B81" t="s">
        <v>237</v>
      </c>
      <c r="C81" t="s">
        <v>237</v>
      </c>
    </row>
    <row r="82" spans="1:3" x14ac:dyDescent="0.3">
      <c r="A82" t="s">
        <v>237</v>
      </c>
      <c r="B82" t="s">
        <v>237</v>
      </c>
      <c r="C82" t="s">
        <v>237</v>
      </c>
    </row>
    <row r="83" spans="1:3" x14ac:dyDescent="0.3">
      <c r="A83" t="s">
        <v>237</v>
      </c>
      <c r="B83" t="s">
        <v>237</v>
      </c>
      <c r="C83" t="s">
        <v>237</v>
      </c>
    </row>
    <row r="84" spans="1:3" x14ac:dyDescent="0.3">
      <c r="A84" t="s">
        <v>237</v>
      </c>
      <c r="B84" t="s">
        <v>237</v>
      </c>
      <c r="C84" t="s">
        <v>237</v>
      </c>
    </row>
    <row r="85" spans="1:3" x14ac:dyDescent="0.3">
      <c r="A85" t="s">
        <v>237</v>
      </c>
      <c r="B85" t="s">
        <v>237</v>
      </c>
      <c r="C85" t="s">
        <v>237</v>
      </c>
    </row>
    <row r="86" spans="1:3" x14ac:dyDescent="0.3">
      <c r="A86" t="s">
        <v>237</v>
      </c>
      <c r="B86" t="s">
        <v>237</v>
      </c>
      <c r="C86" t="s">
        <v>237</v>
      </c>
    </row>
    <row r="87" spans="1:3" x14ac:dyDescent="0.3">
      <c r="A87" t="s">
        <v>237</v>
      </c>
      <c r="B87" t="s">
        <v>237</v>
      </c>
      <c r="C87" t="s">
        <v>237</v>
      </c>
    </row>
    <row r="88" spans="1:3" x14ac:dyDescent="0.3">
      <c r="A88" t="s">
        <v>237</v>
      </c>
      <c r="B88" t="s">
        <v>237</v>
      </c>
      <c r="C88" t="s">
        <v>237</v>
      </c>
    </row>
    <row r="89" spans="1:3" x14ac:dyDescent="0.3">
      <c r="A89" t="s">
        <v>237</v>
      </c>
      <c r="B89" t="s">
        <v>237</v>
      </c>
      <c r="C89" t="s">
        <v>237</v>
      </c>
    </row>
    <row r="90" spans="1:3" x14ac:dyDescent="0.3">
      <c r="A90" t="s">
        <v>237</v>
      </c>
      <c r="B90" t="s">
        <v>237</v>
      </c>
      <c r="C90" t="s">
        <v>237</v>
      </c>
    </row>
    <row r="91" spans="1:3" x14ac:dyDescent="0.3">
      <c r="A91" t="s">
        <v>237</v>
      </c>
      <c r="B91" t="s">
        <v>237</v>
      </c>
      <c r="C91" t="s">
        <v>237</v>
      </c>
    </row>
    <row r="92" spans="1:3" x14ac:dyDescent="0.3">
      <c r="A92" t="s">
        <v>237</v>
      </c>
      <c r="B92" t="s">
        <v>237</v>
      </c>
      <c r="C92" t="s">
        <v>237</v>
      </c>
    </row>
    <row r="93" spans="1:3" x14ac:dyDescent="0.3">
      <c r="A93" t="s">
        <v>237</v>
      </c>
      <c r="B93" t="s">
        <v>237</v>
      </c>
      <c r="C93" t="s">
        <v>237</v>
      </c>
    </row>
    <row r="94" spans="1:3" x14ac:dyDescent="0.3">
      <c r="A94" t="s">
        <v>237</v>
      </c>
      <c r="B94" t="s">
        <v>237</v>
      </c>
      <c r="C94" t="s">
        <v>237</v>
      </c>
    </row>
    <row r="95" spans="1:3" x14ac:dyDescent="0.3">
      <c r="A95" t="s">
        <v>237</v>
      </c>
      <c r="B95" t="s">
        <v>237</v>
      </c>
      <c r="C95" t="s">
        <v>237</v>
      </c>
    </row>
    <row r="96" spans="1:3" x14ac:dyDescent="0.3">
      <c r="A96" t="s">
        <v>237</v>
      </c>
      <c r="B96" t="s">
        <v>237</v>
      </c>
      <c r="C96" t="s">
        <v>237</v>
      </c>
    </row>
    <row r="97" spans="1:3" x14ac:dyDescent="0.3">
      <c r="A97" t="s">
        <v>237</v>
      </c>
      <c r="B97" t="s">
        <v>237</v>
      </c>
      <c r="C97" t="s">
        <v>237</v>
      </c>
    </row>
    <row r="98" spans="1:3" x14ac:dyDescent="0.3">
      <c r="A98" t="s">
        <v>237</v>
      </c>
      <c r="B98" t="s">
        <v>237</v>
      </c>
      <c r="C98" t="s">
        <v>237</v>
      </c>
    </row>
    <row r="99" spans="1:3" x14ac:dyDescent="0.3">
      <c r="A99" t="s">
        <v>237</v>
      </c>
      <c r="B99" t="s">
        <v>237</v>
      </c>
      <c r="C99" t="s">
        <v>237</v>
      </c>
    </row>
    <row r="100" spans="1:3" x14ac:dyDescent="0.3">
      <c r="A100" t="s">
        <v>237</v>
      </c>
      <c r="B100" t="s">
        <v>237</v>
      </c>
      <c r="C100" t="s">
        <v>237</v>
      </c>
    </row>
    <row r="101" spans="1:3" x14ac:dyDescent="0.3">
      <c r="A101" t="s">
        <v>237</v>
      </c>
      <c r="B101" t="s">
        <v>237</v>
      </c>
      <c r="C101" t="s">
        <v>237</v>
      </c>
    </row>
    <row r="102" spans="1:3" x14ac:dyDescent="0.3">
      <c r="A102" t="s">
        <v>237</v>
      </c>
      <c r="B102" t="s">
        <v>237</v>
      </c>
      <c r="C102" t="s">
        <v>237</v>
      </c>
    </row>
    <row r="103" spans="1:3" x14ac:dyDescent="0.3">
      <c r="A103" t="s">
        <v>237</v>
      </c>
      <c r="B103" t="s">
        <v>237</v>
      </c>
      <c r="C103" t="s">
        <v>237</v>
      </c>
    </row>
    <row r="104" spans="1:3" x14ac:dyDescent="0.3">
      <c r="A104" t="s">
        <v>237</v>
      </c>
      <c r="B104" t="s">
        <v>237</v>
      </c>
      <c r="C104" t="s">
        <v>237</v>
      </c>
    </row>
    <row r="105" spans="1:3" x14ac:dyDescent="0.3">
      <c r="A105" t="s">
        <v>237</v>
      </c>
      <c r="B105" t="s">
        <v>237</v>
      </c>
      <c r="C105" t="s">
        <v>237</v>
      </c>
    </row>
    <row r="106" spans="1:3" x14ac:dyDescent="0.3">
      <c r="A106" t="s">
        <v>237</v>
      </c>
      <c r="B106" t="s">
        <v>237</v>
      </c>
      <c r="C106" t="s">
        <v>237</v>
      </c>
    </row>
    <row r="107" spans="1:3" x14ac:dyDescent="0.3">
      <c r="A107" t="s">
        <v>237</v>
      </c>
      <c r="B107" t="s">
        <v>237</v>
      </c>
      <c r="C107" t="s">
        <v>237</v>
      </c>
    </row>
    <row r="108" spans="1:3" x14ac:dyDescent="0.3">
      <c r="A108" t="s">
        <v>237</v>
      </c>
      <c r="B108" t="s">
        <v>237</v>
      </c>
      <c r="C108" t="s">
        <v>237</v>
      </c>
    </row>
    <row r="109" spans="1:3" x14ac:dyDescent="0.3">
      <c r="A109" t="s">
        <v>237</v>
      </c>
      <c r="B109" t="s">
        <v>237</v>
      </c>
      <c r="C109" t="s">
        <v>237</v>
      </c>
    </row>
    <row r="110" spans="1:3" x14ac:dyDescent="0.3">
      <c r="A110" t="s">
        <v>237</v>
      </c>
      <c r="B110" t="s">
        <v>237</v>
      </c>
      <c r="C110" t="s">
        <v>237</v>
      </c>
    </row>
    <row r="111" spans="1:3" x14ac:dyDescent="0.3">
      <c r="A111" t="s">
        <v>237</v>
      </c>
      <c r="B111" t="s">
        <v>237</v>
      </c>
      <c r="C111" t="s">
        <v>237</v>
      </c>
    </row>
    <row r="112" spans="1:3" x14ac:dyDescent="0.3">
      <c r="A112" t="s">
        <v>237</v>
      </c>
      <c r="B112" t="s">
        <v>237</v>
      </c>
      <c r="C112" t="s">
        <v>237</v>
      </c>
    </row>
    <row r="113" spans="1:3" x14ac:dyDescent="0.3">
      <c r="A113" t="s">
        <v>237</v>
      </c>
      <c r="B113" t="s">
        <v>237</v>
      </c>
      <c r="C113" t="s">
        <v>237</v>
      </c>
    </row>
    <row r="114" spans="1:3" x14ac:dyDescent="0.3">
      <c r="A114" t="s">
        <v>237</v>
      </c>
      <c r="B114" t="s">
        <v>237</v>
      </c>
      <c r="C114" t="s">
        <v>237</v>
      </c>
    </row>
    <row r="115" spans="1:3" x14ac:dyDescent="0.3">
      <c r="A115" t="s">
        <v>237</v>
      </c>
      <c r="B115" t="s">
        <v>237</v>
      </c>
      <c r="C115" t="s">
        <v>237</v>
      </c>
    </row>
    <row r="116" spans="1:3" x14ac:dyDescent="0.3">
      <c r="A116" t="s">
        <v>237</v>
      </c>
      <c r="B116" t="s">
        <v>237</v>
      </c>
      <c r="C116" t="s">
        <v>237</v>
      </c>
    </row>
    <row r="117" spans="1:3" x14ac:dyDescent="0.3">
      <c r="A117" t="s">
        <v>237</v>
      </c>
      <c r="B117" t="s">
        <v>237</v>
      </c>
      <c r="C117" t="s">
        <v>237</v>
      </c>
    </row>
    <row r="118" spans="1:3" x14ac:dyDescent="0.3">
      <c r="A118" t="s">
        <v>237</v>
      </c>
      <c r="B118" t="s">
        <v>237</v>
      </c>
      <c r="C118" t="s">
        <v>237</v>
      </c>
    </row>
    <row r="119" spans="1:3" x14ac:dyDescent="0.3">
      <c r="A119" t="s">
        <v>237</v>
      </c>
      <c r="B119" t="s">
        <v>237</v>
      </c>
      <c r="C119" t="s">
        <v>237</v>
      </c>
    </row>
    <row r="120" spans="1:3" x14ac:dyDescent="0.3">
      <c r="A120" t="s">
        <v>237</v>
      </c>
      <c r="B120" t="s">
        <v>237</v>
      </c>
      <c r="C120" t="s">
        <v>237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5"/>
  <sheetViews>
    <sheetView showGridLines="0" tabSelected="1" topLeftCell="A59" zoomScaleNormal="100" workbookViewId="0">
      <selection activeCell="E146" sqref="E146"/>
    </sheetView>
  </sheetViews>
  <sheetFormatPr defaultColWidth="8.6640625" defaultRowHeight="14.4" x14ac:dyDescent="0.3"/>
  <cols>
    <col min="1" max="1" width="5" customWidth="1"/>
    <col min="2" max="2" width="24" customWidth="1"/>
    <col min="3" max="3" width="18" customWidth="1"/>
    <col min="4" max="4" width="12" customWidth="1"/>
  </cols>
  <sheetData>
    <row r="1" spans="1:4" ht="17.399999999999999" x14ac:dyDescent="0.3">
      <c r="A1" s="26" t="s">
        <v>50</v>
      </c>
    </row>
    <row r="2" spans="1:4" x14ac:dyDescent="0.3">
      <c r="A2" s="46" t="s">
        <v>51</v>
      </c>
      <c r="B2" s="46"/>
      <c r="C2" s="46"/>
      <c r="D2" s="46"/>
    </row>
    <row r="4" spans="1:4" ht="21.75" customHeight="1" x14ac:dyDescent="0.3">
      <c r="A4" s="27">
        <v>1</v>
      </c>
      <c r="B4" s="37" t="s">
        <v>52</v>
      </c>
      <c r="C4" s="37"/>
      <c r="D4" s="37"/>
    </row>
    <row r="5" spans="1:4" x14ac:dyDescent="0.3">
      <c r="A5" s="38" t="s">
        <v>53</v>
      </c>
      <c r="B5" s="38"/>
      <c r="C5" s="38"/>
      <c r="D5" s="38"/>
    </row>
    <row r="6" spans="1:4" x14ac:dyDescent="0.3">
      <c r="A6" s="45" t="s">
        <v>54</v>
      </c>
    </row>
    <row r="7" spans="1:4" x14ac:dyDescent="0.3">
      <c r="B7" s="39" t="s">
        <v>55</v>
      </c>
      <c r="C7" s="39"/>
      <c r="D7" s="28" t="s">
        <v>56</v>
      </c>
    </row>
    <row r="8" spans="1:4" x14ac:dyDescent="0.3">
      <c r="B8" s="39" t="s">
        <v>57</v>
      </c>
      <c r="C8" s="39"/>
      <c r="D8" s="28" t="s">
        <v>58</v>
      </c>
    </row>
    <row r="9" spans="1:4" x14ac:dyDescent="0.3">
      <c r="B9" s="39" t="s">
        <v>59</v>
      </c>
      <c r="C9" s="39"/>
      <c r="D9" s="28" t="s">
        <v>60</v>
      </c>
    </row>
    <row r="10" spans="1:4" x14ac:dyDescent="0.3">
      <c r="B10" s="39" t="s">
        <v>61</v>
      </c>
      <c r="C10" s="39"/>
      <c r="D10" s="28" t="s">
        <v>62</v>
      </c>
    </row>
    <row r="11" spans="1:4" x14ac:dyDescent="0.3">
      <c r="B11" s="39" t="s">
        <v>63</v>
      </c>
      <c r="C11" s="39"/>
      <c r="D11" s="28" t="s">
        <v>64</v>
      </c>
    </row>
    <row r="12" spans="1:4" x14ac:dyDescent="0.3">
      <c r="A12" s="45" t="s">
        <v>65</v>
      </c>
    </row>
    <row r="13" spans="1:4" ht="15.75" customHeight="1" x14ac:dyDescent="0.3">
      <c r="A13" s="49">
        <v>1</v>
      </c>
      <c r="B13" s="40" t="s">
        <v>66</v>
      </c>
      <c r="C13" s="40"/>
      <c r="D13" s="40"/>
    </row>
    <row r="14" spans="1:4" ht="27.75" customHeight="1" x14ac:dyDescent="0.3">
      <c r="A14" s="49">
        <v>2</v>
      </c>
      <c r="B14" s="40" t="s">
        <v>67</v>
      </c>
      <c r="C14" s="40"/>
      <c r="D14" s="40"/>
    </row>
    <row r="15" spans="1:4" ht="27.75" customHeight="1" x14ac:dyDescent="0.3">
      <c r="A15" s="49">
        <v>3</v>
      </c>
      <c r="B15" s="40" t="s">
        <v>68</v>
      </c>
      <c r="C15" s="40"/>
      <c r="D15" s="40"/>
    </row>
    <row r="16" spans="1:4" ht="27.75" customHeight="1" x14ac:dyDescent="0.3">
      <c r="A16" s="49">
        <v>4</v>
      </c>
      <c r="B16" s="40" t="s">
        <v>69</v>
      </c>
      <c r="C16" s="40"/>
      <c r="D16" s="40"/>
    </row>
    <row r="17" spans="1:4" ht="27.75" customHeight="1" x14ac:dyDescent="0.3">
      <c r="A17" s="49">
        <v>5</v>
      </c>
      <c r="B17" s="40" t="s">
        <v>70</v>
      </c>
      <c r="C17" s="40"/>
      <c r="D17" s="40"/>
    </row>
    <row r="19" spans="1:4" ht="21.75" customHeight="1" x14ac:dyDescent="0.3">
      <c r="A19" s="27">
        <v>2</v>
      </c>
      <c r="B19" s="37" t="s">
        <v>71</v>
      </c>
      <c r="C19" s="37"/>
      <c r="D19" s="37"/>
    </row>
    <row r="20" spans="1:4" x14ac:dyDescent="0.3">
      <c r="A20" s="38" t="s">
        <v>72</v>
      </c>
      <c r="B20" s="38"/>
      <c r="C20" s="38"/>
      <c r="D20" s="38"/>
    </row>
    <row r="21" spans="1:4" x14ac:dyDescent="0.3">
      <c r="A21" s="45" t="s">
        <v>54</v>
      </c>
    </row>
    <row r="22" spans="1:4" x14ac:dyDescent="0.3">
      <c r="B22" s="39" t="s">
        <v>73</v>
      </c>
      <c r="C22" s="39"/>
      <c r="D22" s="28" t="s">
        <v>60</v>
      </c>
    </row>
    <row r="23" spans="1:4" x14ac:dyDescent="0.3">
      <c r="B23" s="39" t="s">
        <v>74</v>
      </c>
      <c r="C23" s="39"/>
      <c r="D23" s="28" t="s">
        <v>60</v>
      </c>
    </row>
    <row r="24" spans="1:4" x14ac:dyDescent="0.3">
      <c r="B24" s="39" t="s">
        <v>75</v>
      </c>
      <c r="C24" s="39"/>
      <c r="D24" s="28" t="s">
        <v>76</v>
      </c>
    </row>
    <row r="25" spans="1:4" x14ac:dyDescent="0.3">
      <c r="B25" s="39" t="s">
        <v>77</v>
      </c>
      <c r="C25" s="39"/>
      <c r="D25" s="28" t="s">
        <v>78</v>
      </c>
    </row>
    <row r="26" spans="1:4" x14ac:dyDescent="0.3">
      <c r="B26" s="39" t="s">
        <v>79</v>
      </c>
      <c r="C26" s="39"/>
      <c r="D26" s="28" t="s">
        <v>80</v>
      </c>
    </row>
    <row r="27" spans="1:4" x14ac:dyDescent="0.3">
      <c r="B27" s="39" t="s">
        <v>81</v>
      </c>
      <c r="C27" s="39"/>
      <c r="D27" s="28" t="s">
        <v>82</v>
      </c>
    </row>
    <row r="28" spans="1:4" x14ac:dyDescent="0.3">
      <c r="A28" s="45" t="s">
        <v>65</v>
      </c>
    </row>
    <row r="29" spans="1:4" ht="27.75" customHeight="1" x14ac:dyDescent="0.3">
      <c r="A29" s="49">
        <v>1</v>
      </c>
      <c r="B29" s="40" t="s">
        <v>83</v>
      </c>
      <c r="C29" s="40"/>
      <c r="D29" s="40"/>
    </row>
    <row r="30" spans="1:4" ht="27.75" customHeight="1" x14ac:dyDescent="0.3">
      <c r="A30" s="49">
        <v>2</v>
      </c>
      <c r="B30" s="40" t="s">
        <v>84</v>
      </c>
      <c r="C30" s="40"/>
      <c r="D30" s="40"/>
    </row>
    <row r="31" spans="1:4" ht="27.75" customHeight="1" x14ac:dyDescent="0.3">
      <c r="A31" s="49">
        <v>3</v>
      </c>
      <c r="B31" s="40" t="s">
        <v>85</v>
      </c>
      <c r="C31" s="40"/>
      <c r="D31" s="40"/>
    </row>
    <row r="32" spans="1:4" ht="27.75" customHeight="1" x14ac:dyDescent="0.3">
      <c r="A32" s="49">
        <v>4</v>
      </c>
      <c r="B32" s="40" t="s">
        <v>86</v>
      </c>
      <c r="C32" s="40"/>
      <c r="D32" s="40"/>
    </row>
    <row r="33" spans="1:4" ht="27.75" customHeight="1" x14ac:dyDescent="0.3">
      <c r="A33" s="49">
        <v>5</v>
      </c>
      <c r="B33" s="40" t="s">
        <v>87</v>
      </c>
      <c r="C33" s="40"/>
      <c r="D33" s="40"/>
    </row>
    <row r="35" spans="1:4" ht="21.75" customHeight="1" x14ac:dyDescent="0.3">
      <c r="A35" s="27">
        <v>3</v>
      </c>
      <c r="B35" s="37" t="s">
        <v>88</v>
      </c>
      <c r="C35" s="37"/>
      <c r="D35" s="37"/>
    </row>
    <row r="36" spans="1:4" x14ac:dyDescent="0.3">
      <c r="A36" s="38" t="s">
        <v>89</v>
      </c>
      <c r="B36" s="38"/>
      <c r="C36" s="38"/>
      <c r="D36" s="38"/>
    </row>
    <row r="37" spans="1:4" x14ac:dyDescent="0.3">
      <c r="A37" s="45" t="s">
        <v>54</v>
      </c>
    </row>
    <row r="38" spans="1:4" x14ac:dyDescent="0.3">
      <c r="B38" s="39" t="s">
        <v>55</v>
      </c>
      <c r="C38" s="39"/>
      <c r="D38" s="28" t="s">
        <v>90</v>
      </c>
    </row>
    <row r="39" spans="1:4" x14ac:dyDescent="0.3">
      <c r="B39" s="39" t="s">
        <v>91</v>
      </c>
      <c r="C39" s="39"/>
      <c r="D39" s="28" t="s">
        <v>80</v>
      </c>
    </row>
    <row r="40" spans="1:4" x14ac:dyDescent="0.3">
      <c r="B40" s="39" t="s">
        <v>92</v>
      </c>
      <c r="C40" s="39"/>
      <c r="D40" s="28" t="s">
        <v>93</v>
      </c>
    </row>
    <row r="41" spans="1:4" x14ac:dyDescent="0.3">
      <c r="B41" s="39" t="s">
        <v>94</v>
      </c>
      <c r="C41" s="39"/>
      <c r="D41" s="28" t="s">
        <v>95</v>
      </c>
    </row>
    <row r="42" spans="1:4" x14ac:dyDescent="0.3">
      <c r="B42" s="39" t="s">
        <v>96</v>
      </c>
      <c r="C42" s="39"/>
      <c r="D42" s="28" t="s">
        <v>58</v>
      </c>
    </row>
    <row r="43" spans="1:4" x14ac:dyDescent="0.3">
      <c r="A43" s="45" t="s">
        <v>65</v>
      </c>
    </row>
    <row r="44" spans="1:4" ht="27.75" customHeight="1" x14ac:dyDescent="0.3">
      <c r="A44" s="49">
        <v>1</v>
      </c>
      <c r="B44" s="40" t="s">
        <v>97</v>
      </c>
      <c r="C44" s="40"/>
      <c r="D44" s="40"/>
    </row>
    <row r="45" spans="1:4" ht="15.75" customHeight="1" x14ac:dyDescent="0.3">
      <c r="A45" s="49">
        <v>2</v>
      </c>
      <c r="B45" s="40" t="s">
        <v>98</v>
      </c>
      <c r="C45" s="40"/>
      <c r="D45" s="40"/>
    </row>
    <row r="46" spans="1:4" ht="15.75" customHeight="1" x14ac:dyDescent="0.3">
      <c r="A46" s="49">
        <v>3</v>
      </c>
      <c r="B46" s="40" t="s">
        <v>99</v>
      </c>
      <c r="C46" s="40"/>
      <c r="D46" s="40"/>
    </row>
    <row r="47" spans="1:4" ht="27.75" customHeight="1" x14ac:dyDescent="0.3">
      <c r="A47" s="49">
        <v>4</v>
      </c>
      <c r="B47" s="40" t="s">
        <v>100</v>
      </c>
      <c r="C47" s="40"/>
      <c r="D47" s="40"/>
    </row>
    <row r="49" spans="1:4" ht="21.75" customHeight="1" x14ac:dyDescent="0.3">
      <c r="A49" s="27">
        <v>4</v>
      </c>
      <c r="B49" s="37" t="s">
        <v>101</v>
      </c>
      <c r="C49" s="37"/>
      <c r="D49" s="37"/>
    </row>
    <row r="50" spans="1:4" x14ac:dyDescent="0.3">
      <c r="A50" s="38" t="s">
        <v>102</v>
      </c>
      <c r="B50" s="38"/>
      <c r="C50" s="38"/>
      <c r="D50" s="38"/>
    </row>
    <row r="51" spans="1:4" x14ac:dyDescent="0.3">
      <c r="A51" s="45" t="s">
        <v>54</v>
      </c>
    </row>
    <row r="52" spans="1:4" x14ac:dyDescent="0.3">
      <c r="B52" s="39" t="s">
        <v>103</v>
      </c>
      <c r="C52" s="39"/>
      <c r="D52" s="28" t="s">
        <v>104</v>
      </c>
    </row>
    <row r="53" spans="1:4" x14ac:dyDescent="0.3">
      <c r="B53" s="39" t="s">
        <v>105</v>
      </c>
      <c r="C53" s="39"/>
      <c r="D53" s="28" t="s">
        <v>106</v>
      </c>
    </row>
    <row r="54" spans="1:4" x14ac:dyDescent="0.3">
      <c r="B54" s="39" t="s">
        <v>107</v>
      </c>
      <c r="C54" s="39"/>
      <c r="D54" s="28" t="s">
        <v>60</v>
      </c>
    </row>
    <row r="55" spans="1:4" x14ac:dyDescent="0.3">
      <c r="B55" s="39" t="s">
        <v>108</v>
      </c>
      <c r="C55" s="39"/>
      <c r="D55" s="28" t="s">
        <v>56</v>
      </c>
    </row>
    <row r="56" spans="1:4" x14ac:dyDescent="0.3">
      <c r="B56" s="39" t="s">
        <v>109</v>
      </c>
      <c r="C56" s="39"/>
      <c r="D56" s="28" t="s">
        <v>95</v>
      </c>
    </row>
    <row r="57" spans="1:4" x14ac:dyDescent="0.3">
      <c r="A57" s="45" t="s">
        <v>65</v>
      </c>
    </row>
    <row r="58" spans="1:4" ht="27.75" customHeight="1" x14ac:dyDescent="0.3">
      <c r="A58" s="49">
        <v>1</v>
      </c>
      <c r="B58" s="40" t="s">
        <v>110</v>
      </c>
      <c r="C58" s="40"/>
      <c r="D58" s="40"/>
    </row>
    <row r="59" spans="1:4" ht="27.75" customHeight="1" x14ac:dyDescent="0.3">
      <c r="A59" s="49">
        <v>2</v>
      </c>
      <c r="B59" s="40" t="s">
        <v>111</v>
      </c>
      <c r="C59" s="40"/>
      <c r="D59" s="40"/>
    </row>
    <row r="60" spans="1:4" ht="27.75" customHeight="1" x14ac:dyDescent="0.3">
      <c r="A60" s="49">
        <v>3</v>
      </c>
      <c r="B60" s="40" t="s">
        <v>112</v>
      </c>
      <c r="C60" s="40"/>
      <c r="D60" s="40"/>
    </row>
    <row r="61" spans="1:4" ht="27.75" customHeight="1" x14ac:dyDescent="0.3">
      <c r="A61" s="49">
        <v>4</v>
      </c>
      <c r="B61" s="40" t="s">
        <v>113</v>
      </c>
      <c r="C61" s="40"/>
      <c r="D61" s="40"/>
    </row>
    <row r="62" spans="1:4" ht="27.75" customHeight="1" x14ac:dyDescent="0.3">
      <c r="A62" s="49">
        <v>5</v>
      </c>
      <c r="B62" s="40" t="s">
        <v>114</v>
      </c>
      <c r="C62" s="40"/>
      <c r="D62" s="40"/>
    </row>
    <row r="64" spans="1:4" ht="21.75" customHeight="1" x14ac:dyDescent="0.3">
      <c r="A64" s="27">
        <v>5</v>
      </c>
      <c r="B64" s="37" t="s">
        <v>115</v>
      </c>
      <c r="C64" s="37"/>
      <c r="D64" s="37"/>
    </row>
    <row r="65" spans="1:4" x14ac:dyDescent="0.3">
      <c r="A65" s="38" t="s">
        <v>116</v>
      </c>
      <c r="B65" s="38"/>
      <c r="C65" s="38"/>
      <c r="D65" s="38"/>
    </row>
    <row r="66" spans="1:4" x14ac:dyDescent="0.3">
      <c r="A66" s="45" t="s">
        <v>54</v>
      </c>
    </row>
    <row r="67" spans="1:4" x14ac:dyDescent="0.3">
      <c r="B67" s="39" t="s">
        <v>117</v>
      </c>
      <c r="C67" s="39"/>
      <c r="D67" s="28" t="s">
        <v>118</v>
      </c>
    </row>
    <row r="68" spans="1:4" x14ac:dyDescent="0.3">
      <c r="B68" s="39" t="s">
        <v>119</v>
      </c>
      <c r="C68" s="39"/>
      <c r="D68" s="28" t="s">
        <v>76</v>
      </c>
    </row>
    <row r="69" spans="1:4" x14ac:dyDescent="0.3">
      <c r="B69" s="39" t="s">
        <v>120</v>
      </c>
      <c r="C69" s="39"/>
      <c r="D69" s="28" t="s">
        <v>121</v>
      </c>
    </row>
    <row r="70" spans="1:4" x14ac:dyDescent="0.3">
      <c r="B70" s="39" t="s">
        <v>122</v>
      </c>
      <c r="C70" s="39"/>
      <c r="D70" s="28" t="s">
        <v>56</v>
      </c>
    </row>
    <row r="71" spans="1:4" x14ac:dyDescent="0.3">
      <c r="B71" s="39" t="s">
        <v>123</v>
      </c>
      <c r="C71" s="39"/>
      <c r="D71" s="28" t="s">
        <v>64</v>
      </c>
    </row>
    <row r="72" spans="1:4" x14ac:dyDescent="0.3">
      <c r="A72" s="45" t="s">
        <v>65</v>
      </c>
    </row>
    <row r="73" spans="1:4" ht="15.75" customHeight="1" x14ac:dyDescent="0.3">
      <c r="A73" s="49">
        <v>1</v>
      </c>
      <c r="B73" s="40" t="s">
        <v>124</v>
      </c>
      <c r="C73" s="40"/>
      <c r="D73" s="40"/>
    </row>
    <row r="74" spans="1:4" ht="27.75" customHeight="1" x14ac:dyDescent="0.3">
      <c r="A74" s="49">
        <v>2</v>
      </c>
      <c r="B74" s="40" t="s">
        <v>125</v>
      </c>
      <c r="C74" s="40"/>
      <c r="D74" s="40"/>
    </row>
    <row r="75" spans="1:4" ht="27.75" customHeight="1" x14ac:dyDescent="0.3">
      <c r="A75" s="49">
        <v>3</v>
      </c>
      <c r="B75" s="40" t="s">
        <v>126</v>
      </c>
      <c r="C75" s="40"/>
      <c r="D75" s="40"/>
    </row>
    <row r="76" spans="1:4" ht="27.75" customHeight="1" x14ac:dyDescent="0.3">
      <c r="A76" s="49">
        <v>4</v>
      </c>
      <c r="B76" s="40" t="s">
        <v>127</v>
      </c>
      <c r="C76" s="40"/>
      <c r="D76" s="40"/>
    </row>
    <row r="77" spans="1:4" ht="15.75" customHeight="1" x14ac:dyDescent="0.3">
      <c r="A77" s="49">
        <v>5</v>
      </c>
      <c r="B77" s="40" t="s">
        <v>128</v>
      </c>
      <c r="C77" s="40"/>
      <c r="D77" s="40"/>
    </row>
    <row r="79" spans="1:4" ht="21.75" customHeight="1" x14ac:dyDescent="0.3">
      <c r="A79" s="27">
        <v>6</v>
      </c>
      <c r="B79" s="37" t="s">
        <v>129</v>
      </c>
      <c r="C79" s="37"/>
      <c r="D79" s="37"/>
    </row>
    <row r="80" spans="1:4" x14ac:dyDescent="0.3">
      <c r="A80" s="38" t="s">
        <v>130</v>
      </c>
      <c r="B80" s="38"/>
      <c r="C80" s="38"/>
      <c r="D80" s="38"/>
    </row>
    <row r="81" spans="1:4" x14ac:dyDescent="0.3">
      <c r="A81" s="45" t="s">
        <v>54</v>
      </c>
    </row>
    <row r="82" spans="1:4" x14ac:dyDescent="0.3">
      <c r="B82" s="39" t="s">
        <v>131</v>
      </c>
      <c r="C82" s="39"/>
      <c r="D82" s="28" t="s">
        <v>118</v>
      </c>
    </row>
    <row r="83" spans="1:4" x14ac:dyDescent="0.3">
      <c r="B83" s="39" t="s">
        <v>132</v>
      </c>
      <c r="C83" s="39"/>
      <c r="D83" s="28" t="s">
        <v>80</v>
      </c>
    </row>
    <row r="84" spans="1:4" x14ac:dyDescent="0.3">
      <c r="B84" s="39" t="s">
        <v>96</v>
      </c>
      <c r="C84" s="39"/>
      <c r="D84" s="28" t="s">
        <v>133</v>
      </c>
    </row>
    <row r="85" spans="1:4" x14ac:dyDescent="0.3">
      <c r="B85" s="39" t="s">
        <v>134</v>
      </c>
      <c r="C85" s="39"/>
      <c r="D85" s="28" t="s">
        <v>95</v>
      </c>
    </row>
    <row r="86" spans="1:4" x14ac:dyDescent="0.3">
      <c r="B86" s="39" t="s">
        <v>135</v>
      </c>
      <c r="C86" s="39"/>
      <c r="D86" s="28" t="s">
        <v>136</v>
      </c>
    </row>
    <row r="87" spans="1:4" x14ac:dyDescent="0.3">
      <c r="A87" s="45" t="s">
        <v>65</v>
      </c>
    </row>
    <row r="88" spans="1:4" ht="15.75" customHeight="1" x14ac:dyDescent="0.3">
      <c r="A88" s="49">
        <v>1</v>
      </c>
      <c r="B88" s="40" t="s">
        <v>137</v>
      </c>
      <c r="C88" s="40"/>
      <c r="D88" s="40"/>
    </row>
    <row r="89" spans="1:4" ht="15.75" customHeight="1" x14ac:dyDescent="0.3">
      <c r="A89" s="49">
        <v>2</v>
      </c>
      <c r="B89" s="40" t="s">
        <v>138</v>
      </c>
      <c r="C89" s="40"/>
      <c r="D89" s="40"/>
    </row>
    <row r="90" spans="1:4" ht="27.75" customHeight="1" x14ac:dyDescent="0.3">
      <c r="A90" s="49">
        <v>3</v>
      </c>
      <c r="B90" s="40" t="s">
        <v>139</v>
      </c>
      <c r="C90" s="40"/>
      <c r="D90" s="40"/>
    </row>
    <row r="92" spans="1:4" ht="21.75" customHeight="1" x14ac:dyDescent="0.3">
      <c r="A92" s="27">
        <v>7</v>
      </c>
      <c r="B92" s="37" t="s">
        <v>140</v>
      </c>
      <c r="C92" s="37"/>
      <c r="D92" s="37"/>
    </row>
    <row r="93" spans="1:4" x14ac:dyDescent="0.3">
      <c r="A93" s="38" t="s">
        <v>141</v>
      </c>
      <c r="B93" s="38"/>
      <c r="C93" s="38"/>
      <c r="D93" s="38"/>
    </row>
    <row r="94" spans="1:4" x14ac:dyDescent="0.3">
      <c r="A94" s="45" t="s">
        <v>54</v>
      </c>
    </row>
    <row r="95" spans="1:4" x14ac:dyDescent="0.3">
      <c r="B95" s="39" t="s">
        <v>142</v>
      </c>
      <c r="C95" s="39"/>
      <c r="D95" s="28" t="s">
        <v>143</v>
      </c>
    </row>
    <row r="96" spans="1:4" x14ac:dyDescent="0.3">
      <c r="B96" s="39" t="s">
        <v>144</v>
      </c>
      <c r="C96" s="39"/>
      <c r="D96" s="28" t="s">
        <v>60</v>
      </c>
    </row>
    <row r="97" spans="1:4" x14ac:dyDescent="0.3">
      <c r="B97" s="39" t="s">
        <v>145</v>
      </c>
      <c r="C97" s="39"/>
      <c r="D97" s="28" t="s">
        <v>121</v>
      </c>
    </row>
    <row r="98" spans="1:4" x14ac:dyDescent="0.3">
      <c r="B98" s="39" t="s">
        <v>146</v>
      </c>
      <c r="C98" s="39"/>
      <c r="D98" s="28" t="s">
        <v>147</v>
      </c>
    </row>
    <row r="99" spans="1:4" x14ac:dyDescent="0.3">
      <c r="A99" s="45" t="s">
        <v>65</v>
      </c>
    </row>
    <row r="100" spans="1:4" ht="15.75" customHeight="1" x14ac:dyDescent="0.3">
      <c r="A100" s="49">
        <v>1</v>
      </c>
      <c r="B100" s="40" t="s">
        <v>148</v>
      </c>
      <c r="C100" s="40"/>
      <c r="D100" s="40"/>
    </row>
    <row r="101" spans="1:4" ht="15.75" customHeight="1" x14ac:dyDescent="0.3">
      <c r="A101" s="49">
        <v>2</v>
      </c>
      <c r="B101" s="40" t="s">
        <v>149</v>
      </c>
      <c r="C101" s="40"/>
      <c r="D101" s="40"/>
    </row>
    <row r="102" spans="1:4" ht="15.75" customHeight="1" x14ac:dyDescent="0.3">
      <c r="A102" s="49">
        <v>3</v>
      </c>
      <c r="B102" s="40" t="s">
        <v>150</v>
      </c>
      <c r="C102" s="40"/>
      <c r="D102" s="40"/>
    </row>
    <row r="103" spans="1:4" ht="27.75" customHeight="1" x14ac:dyDescent="0.3">
      <c r="A103" s="49">
        <v>4</v>
      </c>
      <c r="B103" s="40" t="s">
        <v>151</v>
      </c>
      <c r="C103" s="40"/>
      <c r="D103" s="40"/>
    </row>
    <row r="105" spans="1:4" ht="21.75" customHeight="1" x14ac:dyDescent="0.3">
      <c r="A105" s="27">
        <v>8</v>
      </c>
      <c r="B105" s="37" t="s">
        <v>152</v>
      </c>
      <c r="C105" s="37"/>
      <c r="D105" s="37"/>
    </row>
    <row r="106" spans="1:4" x14ac:dyDescent="0.3">
      <c r="A106" s="38" t="s">
        <v>153</v>
      </c>
      <c r="B106" s="38"/>
      <c r="C106" s="38"/>
      <c r="D106" s="38"/>
    </row>
    <row r="107" spans="1:4" x14ac:dyDescent="0.3">
      <c r="A107" s="45" t="s">
        <v>54</v>
      </c>
    </row>
    <row r="108" spans="1:4" x14ac:dyDescent="0.3">
      <c r="B108" s="39" t="s">
        <v>154</v>
      </c>
      <c r="C108" s="39"/>
      <c r="D108" s="28" t="s">
        <v>76</v>
      </c>
    </row>
    <row r="109" spans="1:4" x14ac:dyDescent="0.3">
      <c r="B109" s="39" t="s">
        <v>155</v>
      </c>
      <c r="C109" s="39"/>
      <c r="D109" s="28" t="s">
        <v>156</v>
      </c>
    </row>
    <row r="110" spans="1:4" x14ac:dyDescent="0.3">
      <c r="B110" s="39" t="s">
        <v>157</v>
      </c>
      <c r="C110" s="39"/>
      <c r="D110" s="28" t="s">
        <v>60</v>
      </c>
    </row>
    <row r="111" spans="1:4" x14ac:dyDescent="0.3">
      <c r="B111" s="39" t="s">
        <v>158</v>
      </c>
      <c r="C111" s="39"/>
      <c r="D111" s="28" t="s">
        <v>159</v>
      </c>
    </row>
    <row r="112" spans="1:4" x14ac:dyDescent="0.3">
      <c r="B112" s="39" t="s">
        <v>160</v>
      </c>
      <c r="C112" s="39"/>
      <c r="D112" s="28" t="s">
        <v>136</v>
      </c>
    </row>
    <row r="113" spans="1:4" x14ac:dyDescent="0.3">
      <c r="A113" s="45" t="s">
        <v>65</v>
      </c>
    </row>
    <row r="114" spans="1:4" ht="27.75" customHeight="1" x14ac:dyDescent="0.3">
      <c r="A114" s="49">
        <v>1</v>
      </c>
      <c r="B114" s="40" t="s">
        <v>161</v>
      </c>
      <c r="C114" s="40"/>
      <c r="D114" s="40"/>
    </row>
    <row r="115" spans="1:4" ht="15.75" customHeight="1" x14ac:dyDescent="0.3">
      <c r="A115" s="49">
        <v>2</v>
      </c>
      <c r="B115" s="40" t="s">
        <v>162</v>
      </c>
      <c r="C115" s="40"/>
      <c r="D115" s="40"/>
    </row>
    <row r="116" spans="1:4" ht="27.75" customHeight="1" x14ac:dyDescent="0.3">
      <c r="A116" s="49">
        <v>3</v>
      </c>
      <c r="B116" s="40" t="s">
        <v>163</v>
      </c>
      <c r="C116" s="40"/>
      <c r="D116" s="40"/>
    </row>
    <row r="117" spans="1:4" ht="27.75" customHeight="1" x14ac:dyDescent="0.3">
      <c r="A117" s="49">
        <v>4</v>
      </c>
      <c r="B117" s="40" t="s">
        <v>164</v>
      </c>
      <c r="C117" s="40"/>
      <c r="D117" s="40"/>
    </row>
    <row r="118" spans="1:4" ht="15.75" customHeight="1" x14ac:dyDescent="0.3">
      <c r="A118" s="49">
        <v>5</v>
      </c>
      <c r="B118" s="40" t="s">
        <v>165</v>
      </c>
      <c r="C118" s="40"/>
      <c r="D118" s="40"/>
    </row>
    <row r="120" spans="1:4" ht="21.75" customHeight="1" x14ac:dyDescent="0.3">
      <c r="A120" s="27">
        <v>9</v>
      </c>
      <c r="B120" s="37" t="s">
        <v>166</v>
      </c>
      <c r="C120" s="37"/>
      <c r="D120" s="37"/>
    </row>
    <row r="121" spans="1:4" x14ac:dyDescent="0.3">
      <c r="A121" s="38" t="s">
        <v>167</v>
      </c>
      <c r="B121" s="38"/>
      <c r="C121" s="38"/>
      <c r="D121" s="38"/>
    </row>
    <row r="122" spans="1:4" x14ac:dyDescent="0.3">
      <c r="A122" s="45" t="s">
        <v>54</v>
      </c>
    </row>
    <row r="123" spans="1:4" x14ac:dyDescent="0.3">
      <c r="B123" s="39" t="s">
        <v>94</v>
      </c>
      <c r="C123" s="39"/>
      <c r="D123" s="28" t="s">
        <v>168</v>
      </c>
    </row>
    <row r="124" spans="1:4" x14ac:dyDescent="0.3">
      <c r="B124" s="39" t="s">
        <v>169</v>
      </c>
      <c r="C124" s="39"/>
      <c r="D124" s="28" t="s">
        <v>64</v>
      </c>
    </row>
    <row r="125" spans="1:4" x14ac:dyDescent="0.3">
      <c r="B125" s="39" t="s">
        <v>170</v>
      </c>
      <c r="C125" s="39"/>
      <c r="D125" s="28" t="s">
        <v>58</v>
      </c>
    </row>
    <row r="126" spans="1:4" x14ac:dyDescent="0.3">
      <c r="B126" s="39" t="s">
        <v>171</v>
      </c>
      <c r="C126" s="39"/>
      <c r="D126" s="28" t="s">
        <v>121</v>
      </c>
    </row>
    <row r="127" spans="1:4" x14ac:dyDescent="0.3">
      <c r="B127" s="39" t="s">
        <v>172</v>
      </c>
      <c r="C127" s="39"/>
      <c r="D127" s="28" t="s">
        <v>173</v>
      </c>
    </row>
    <row r="128" spans="1:4" x14ac:dyDescent="0.3">
      <c r="A128" s="45" t="s">
        <v>65</v>
      </c>
    </row>
    <row r="129" spans="1:4" ht="27.75" customHeight="1" x14ac:dyDescent="0.3">
      <c r="A129" s="49">
        <v>1</v>
      </c>
      <c r="B129" s="40" t="s">
        <v>174</v>
      </c>
      <c r="C129" s="40"/>
      <c r="D129" s="40"/>
    </row>
    <row r="130" spans="1:4" ht="27.75" customHeight="1" x14ac:dyDescent="0.3">
      <c r="A130" s="49">
        <v>2</v>
      </c>
      <c r="B130" s="40" t="s">
        <v>175</v>
      </c>
      <c r="C130" s="40"/>
      <c r="D130" s="40"/>
    </row>
    <row r="131" spans="1:4" ht="15.75" customHeight="1" x14ac:dyDescent="0.3">
      <c r="A131" s="49">
        <v>3</v>
      </c>
      <c r="B131" s="40" t="s">
        <v>176</v>
      </c>
      <c r="C131" s="40"/>
      <c r="D131" s="40"/>
    </row>
    <row r="132" spans="1:4" ht="15.75" customHeight="1" x14ac:dyDescent="0.3">
      <c r="A132" s="49">
        <v>4</v>
      </c>
      <c r="B132" s="40" t="s">
        <v>177</v>
      </c>
      <c r="C132" s="40"/>
      <c r="D132" s="40"/>
    </row>
    <row r="134" spans="1:4" ht="21.75" customHeight="1" x14ac:dyDescent="0.3">
      <c r="A134" s="27">
        <v>10</v>
      </c>
      <c r="B134" s="37" t="s">
        <v>178</v>
      </c>
      <c r="C134" s="37"/>
      <c r="D134" s="37"/>
    </row>
    <row r="135" spans="1:4" x14ac:dyDescent="0.3">
      <c r="A135" s="38" t="s">
        <v>179</v>
      </c>
      <c r="B135" s="38"/>
      <c r="C135" s="38"/>
      <c r="D135" s="38"/>
    </row>
    <row r="136" spans="1:4" x14ac:dyDescent="0.3">
      <c r="A136" s="45" t="s">
        <v>54</v>
      </c>
    </row>
    <row r="137" spans="1:4" x14ac:dyDescent="0.3">
      <c r="B137" s="39" t="s">
        <v>180</v>
      </c>
      <c r="C137" s="39"/>
      <c r="D137" s="28" t="s">
        <v>181</v>
      </c>
    </row>
    <row r="138" spans="1:4" x14ac:dyDescent="0.3">
      <c r="B138" s="39" t="s">
        <v>182</v>
      </c>
      <c r="C138" s="39"/>
      <c r="D138" s="28" t="s">
        <v>80</v>
      </c>
    </row>
    <row r="139" spans="1:4" x14ac:dyDescent="0.3">
      <c r="B139" s="39" t="s">
        <v>183</v>
      </c>
      <c r="C139" s="39"/>
      <c r="D139" s="28" t="s">
        <v>62</v>
      </c>
    </row>
    <row r="140" spans="1:4" x14ac:dyDescent="0.3">
      <c r="B140" s="39" t="s">
        <v>184</v>
      </c>
      <c r="C140" s="39"/>
      <c r="D140" s="28" t="s">
        <v>185</v>
      </c>
    </row>
    <row r="141" spans="1:4" x14ac:dyDescent="0.3">
      <c r="A141" s="45" t="s">
        <v>65</v>
      </c>
    </row>
    <row r="142" spans="1:4" ht="27.75" customHeight="1" x14ac:dyDescent="0.3">
      <c r="A142" s="49">
        <v>1</v>
      </c>
      <c r="B142" s="40" t="s">
        <v>186</v>
      </c>
      <c r="C142" s="40"/>
      <c r="D142" s="40"/>
    </row>
    <row r="143" spans="1:4" ht="27.75" customHeight="1" x14ac:dyDescent="0.3">
      <c r="A143" s="49">
        <v>2</v>
      </c>
      <c r="B143" s="40" t="s">
        <v>187</v>
      </c>
      <c r="C143" s="40"/>
      <c r="D143" s="40"/>
    </row>
    <row r="144" spans="1:4" ht="27.75" customHeight="1" x14ac:dyDescent="0.3">
      <c r="A144" s="49">
        <v>3</v>
      </c>
      <c r="B144" s="40" t="s">
        <v>188</v>
      </c>
      <c r="C144" s="40"/>
      <c r="D144" s="40"/>
    </row>
    <row r="145" spans="1:4" ht="15.75" customHeight="1" x14ac:dyDescent="0.3">
      <c r="A145" s="49">
        <v>4</v>
      </c>
      <c r="B145" s="40" t="s">
        <v>189</v>
      </c>
      <c r="C145" s="40"/>
      <c r="D145" s="40"/>
    </row>
  </sheetData>
  <mergeCells count="114">
    <mergeCell ref="B139:C139"/>
    <mergeCell ref="B140:C140"/>
    <mergeCell ref="B142:D142"/>
    <mergeCell ref="B143:D143"/>
    <mergeCell ref="B144:D144"/>
    <mergeCell ref="B145:D145"/>
    <mergeCell ref="B127:C127"/>
    <mergeCell ref="B129:D129"/>
    <mergeCell ref="B130:D130"/>
    <mergeCell ref="B131:D131"/>
    <mergeCell ref="B132:D132"/>
    <mergeCell ref="B134:D134"/>
    <mergeCell ref="A135:D135"/>
    <mergeCell ref="B137:C137"/>
    <mergeCell ref="B138:C138"/>
    <mergeCell ref="B116:D116"/>
    <mergeCell ref="B117:D117"/>
    <mergeCell ref="B118:D118"/>
    <mergeCell ref="B120:D120"/>
    <mergeCell ref="A121:D121"/>
    <mergeCell ref="B123:C123"/>
    <mergeCell ref="B124:C124"/>
    <mergeCell ref="B125:C125"/>
    <mergeCell ref="B126:C126"/>
    <mergeCell ref="B105:D105"/>
    <mergeCell ref="A106:D106"/>
    <mergeCell ref="B108:C108"/>
    <mergeCell ref="B109:C109"/>
    <mergeCell ref="B110:C110"/>
    <mergeCell ref="B111:C111"/>
    <mergeCell ref="B112:C112"/>
    <mergeCell ref="B114:D114"/>
    <mergeCell ref="B115:D115"/>
    <mergeCell ref="A93:D93"/>
    <mergeCell ref="B95:C95"/>
    <mergeCell ref="B96:C96"/>
    <mergeCell ref="B97:C97"/>
    <mergeCell ref="B98:C98"/>
    <mergeCell ref="B100:D100"/>
    <mergeCell ref="B101:D101"/>
    <mergeCell ref="B102:D102"/>
    <mergeCell ref="B103:D103"/>
    <mergeCell ref="B82:C82"/>
    <mergeCell ref="B83:C83"/>
    <mergeCell ref="B84:C84"/>
    <mergeCell ref="B85:C85"/>
    <mergeCell ref="B86:C86"/>
    <mergeCell ref="B88:D88"/>
    <mergeCell ref="B89:D89"/>
    <mergeCell ref="B90:D90"/>
    <mergeCell ref="B92:D92"/>
    <mergeCell ref="B70:C70"/>
    <mergeCell ref="B71:C71"/>
    <mergeCell ref="B73:D73"/>
    <mergeCell ref="B74:D74"/>
    <mergeCell ref="B75:D75"/>
    <mergeCell ref="B76:D76"/>
    <mergeCell ref="B77:D77"/>
    <mergeCell ref="B79:D79"/>
    <mergeCell ref="A80:D80"/>
    <mergeCell ref="B59:D59"/>
    <mergeCell ref="B60:D60"/>
    <mergeCell ref="B61:D61"/>
    <mergeCell ref="B62:D62"/>
    <mergeCell ref="B64:D64"/>
    <mergeCell ref="A65:D65"/>
    <mergeCell ref="B67:C67"/>
    <mergeCell ref="B68:C68"/>
    <mergeCell ref="B69:C69"/>
    <mergeCell ref="B47:D47"/>
    <mergeCell ref="B49:D49"/>
    <mergeCell ref="A50:D50"/>
    <mergeCell ref="B52:C52"/>
    <mergeCell ref="B53:C53"/>
    <mergeCell ref="B54:C54"/>
    <mergeCell ref="B55:C55"/>
    <mergeCell ref="B56:C56"/>
    <mergeCell ref="B58:D58"/>
    <mergeCell ref="A36:D36"/>
    <mergeCell ref="B38:C38"/>
    <mergeCell ref="B39:C39"/>
    <mergeCell ref="B40:C40"/>
    <mergeCell ref="B41:C41"/>
    <mergeCell ref="B42:C42"/>
    <mergeCell ref="B44:D44"/>
    <mergeCell ref="B45:D45"/>
    <mergeCell ref="B46:D46"/>
    <mergeCell ref="B25:C25"/>
    <mergeCell ref="B26:C26"/>
    <mergeCell ref="B27:C27"/>
    <mergeCell ref="B29:D29"/>
    <mergeCell ref="B30:D30"/>
    <mergeCell ref="B31:D31"/>
    <mergeCell ref="B32:D32"/>
    <mergeCell ref="B33:D33"/>
    <mergeCell ref="B35:D35"/>
    <mergeCell ref="B14:D14"/>
    <mergeCell ref="B15:D15"/>
    <mergeCell ref="B16:D16"/>
    <mergeCell ref="B17:D17"/>
    <mergeCell ref="B19:D19"/>
    <mergeCell ref="A20:D20"/>
    <mergeCell ref="B22:C22"/>
    <mergeCell ref="B23:C23"/>
    <mergeCell ref="B24:C24"/>
    <mergeCell ref="A2:D2"/>
    <mergeCell ref="B4:D4"/>
    <mergeCell ref="A5:D5"/>
    <mergeCell ref="B7:C7"/>
    <mergeCell ref="B8:C8"/>
    <mergeCell ref="B9:C9"/>
    <mergeCell ref="B10:C10"/>
    <mergeCell ref="B11:C11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Dashboard</vt:lpstr>
      <vt:lpstr>Meal plan</vt:lpstr>
      <vt:lpstr>Weight</vt:lpstr>
      <vt:lpstr>Shopping</vt:lpstr>
      <vt:lpstr>Recipes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mounir chtouki</cp:lastModifiedBy>
  <cp:revision>2</cp:revision>
  <dcterms:created xsi:type="dcterms:W3CDTF">2026-10-24T11:05:59Z</dcterms:created>
  <dcterms:modified xsi:type="dcterms:W3CDTF">2026-10-25T00:20:27Z</dcterms:modified>
  <dc:language>en-US</dc:language>
</cp:coreProperties>
</file>